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wnloads\123123123123\CinemaReady-ONE-UPLOAD\"/>
    </mc:Choice>
  </mc:AlternateContent>
  <xr:revisionPtr revIDLastSave="0" documentId="13_ncr:1_{095F1F98-4E2E-4A5E-AB74-8087B84723B7}" xr6:coauthVersionLast="47" xr6:coauthVersionMax="47" xr10:uidLastSave="{00000000-0000-0000-0000-000000000000}"/>
  <bookViews>
    <workbookView xWindow="-120" yWindow="-120" windowWidth="29040" windowHeight="17640" activeTab="3" xr2:uid="{00000000-000D-0000-FFFF-FFFF00000000}"/>
  </bookViews>
  <sheets>
    <sheet name="CinemaReady" sheetId="1" r:id="rId1"/>
    <sheet name="Network Map" sheetId="2" r:id="rId2"/>
    <sheet name="Incident Log" sheetId="3" r:id="rId3"/>
    <sheet name="Project Inf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3" l="1"/>
  <c r="E6" i="3"/>
  <c r="C6" i="3"/>
  <c r="A6" i="3"/>
  <c r="D18" i="1"/>
  <c r="I15" i="1" s="1"/>
  <c r="J12" i="1"/>
  <c r="J11" i="1"/>
  <c r="J10" i="1"/>
  <c r="K5" i="1"/>
  <c r="K7" i="1" s="1"/>
</calcChain>
</file>

<file path=xl/sharedStrings.xml><?xml version="1.0" encoding="utf-8"?>
<sst xmlns="http://schemas.openxmlformats.org/spreadsheetml/2006/main" count="161" uniqueCount="132">
  <si>
    <t>CinemaReady</t>
  </si>
  <si>
    <t>Cinema Hall Equipment, Network &amp; Screening Readiness Dashboard</t>
  </si>
  <si>
    <t>SCREENING DETAILS</t>
  </si>
  <si>
    <t>LIVE STATUS</t>
  </si>
  <si>
    <t>Hall</t>
  </si>
  <si>
    <t>Hall 1</t>
  </si>
  <si>
    <t>Date</t>
  </si>
  <si>
    <t>2026-07-29</t>
  </si>
  <si>
    <t>Start Time</t>
  </si>
  <si>
    <t>15:00</t>
  </si>
  <si>
    <t>Checks Passed</t>
  </si>
  <si>
    <t>Movie</t>
  </si>
  <si>
    <t>Dune: Part Two</t>
  </si>
  <si>
    <t>Total Checks</t>
  </si>
  <si>
    <t>Readiness Score</t>
  </si>
  <si>
    <t>SIMULATED BASIC NETWORK</t>
  </si>
  <si>
    <t>Network</t>
  </si>
  <si>
    <t>192.168.10.0/24</t>
  </si>
  <si>
    <t>Subnet Mask</t>
  </si>
  <si>
    <t>255.255.255.0</t>
  </si>
  <si>
    <t>Gateway</t>
  </si>
  <si>
    <t>192.168.10.1</t>
  </si>
  <si>
    <t>AUTOMATIC DIAGNOSIS</t>
  </si>
  <si>
    <t>Support PC</t>
  </si>
  <si>
    <t>192.168.10.100</t>
  </si>
  <si>
    <t>Projector</t>
  </si>
  <si>
    <t>Sound System</t>
  </si>
  <si>
    <t>EQUIPMENT &amp; NETWORK CHECK</t>
  </si>
  <si>
    <t>CCTV Camera</t>
  </si>
  <si>
    <t>Equipment</t>
  </si>
  <si>
    <t>Purpose</t>
  </si>
  <si>
    <t>IP Address</t>
  </si>
  <si>
    <t>Ping Result</t>
  </si>
  <si>
    <t>Functional Status</t>
  </si>
  <si>
    <t>Manual Check</t>
  </si>
  <si>
    <t>Notes</t>
  </si>
  <si>
    <t>Picture projection</t>
  </si>
  <si>
    <t>192.168.10.10</t>
  </si>
  <si>
    <t>Reply</t>
  </si>
  <si>
    <t>Online</t>
  </si>
  <si>
    <t>Image/control check</t>
  </si>
  <si>
    <t>RECOMMENDED ACTION</t>
  </si>
  <si>
    <t>Cinema audio</t>
  </si>
  <si>
    <t>192.168.10.20</t>
  </si>
  <si>
    <t>Test playback</t>
  </si>
  <si>
    <t>Hall video monitoring</t>
  </si>
  <si>
    <t>192.168.10.30</t>
  </si>
  <si>
    <t>Live image check</t>
  </si>
  <si>
    <t>OVERALL READINESS</t>
  </si>
  <si>
    <t>PROJECT SCOPE &amp; LIMITATION</t>
  </si>
  <si>
    <t>Educational prototype using a simulated local network. Ping Result and Functional Status are entered manually after checks. A successful ping only confirms basic ICMP reachability; it does not prove that the projector, sound system, or CCTV camera works correctly. Failed checks and troubleshooting outcomes can be documented in the Incident Log sheet.</t>
  </si>
  <si>
    <t>BASIC NETWORK TEST</t>
  </si>
  <si>
    <t>From Command Prompt, an operator could test the example addresses:
ping 192.168.10.10   (Projector)
ping 192.168.10.20   (Sound System)
ping 192.168.10.30   (CCTV Camera)
The addresses are simulated and are not connected to real cinema equipment.</t>
  </si>
  <si>
    <t>SIMULATED CINEMA NETWORK TOPOLOGY</t>
  </si>
  <si>
    <t>Educational diagram — example private IP addresses only</t>
  </si>
  <si>
    <t>→</t>
  </si>
  <si>
    <t>PROJECTOR
192.168.10.10</t>
  </si>
  <si>
    <t>SUPPORT PC
192.168.10.100</t>
  </si>
  <si>
    <t>NETWORK SWITCH
Layer 2 connectivity</t>
  </si>
  <si>
    <t>SOUND SYSTEM
192.168.10.20</t>
  </si>
  <si>
    <t>CCTV CAMERA
192.168.10.30</t>
  </si>
  <si>
    <t>NETWORK DETAILS</t>
  </si>
  <si>
    <t>Basic reachability testing with ping</t>
  </si>
  <si>
    <t>CINEMAREADY — INCIDENT LOG</t>
  </si>
  <si>
    <t>Technical issue tracking for cinema equipment and screening readiness checks</t>
  </si>
  <si>
    <t>TOTAL INCIDENTS</t>
  </si>
  <si>
    <t>OPEN</t>
  </si>
  <si>
    <t>IN PROGRESS</t>
  </si>
  <si>
    <t>RESOLVED</t>
  </si>
  <si>
    <t>INCIDENT REGISTER</t>
  </si>
  <si>
    <t>Incident ID</t>
  </si>
  <si>
    <t>Device</t>
  </si>
  <si>
    <t>Issue Description</t>
  </si>
  <si>
    <t>Priority</t>
  </si>
  <si>
    <t>Status</t>
  </si>
  <si>
    <t>Resolution</t>
  </si>
  <si>
    <t>INC-001</t>
  </si>
  <si>
    <t>No network reply during the pre-screening check.</t>
  </si>
  <si>
    <t>High</t>
  </si>
  <si>
    <t>Resolved</t>
  </si>
  <si>
    <t>Network cable reseated and connectivity retested.</t>
  </si>
  <si>
    <t>INC-002</t>
  </si>
  <si>
    <t>Hall 2</t>
  </si>
  <si>
    <t>Distorted audio during test playback.</t>
  </si>
  <si>
    <t>Medium</t>
  </si>
  <si>
    <t>In Progress</t>
  </si>
  <si>
    <t>Audio cable and amplifier are being inspected.</t>
  </si>
  <si>
    <t>INC-003</t>
  </si>
  <si>
    <t>Hall 3</t>
  </si>
  <si>
    <t>Live camera image unavailable.</t>
  </si>
  <si>
    <t>Critical</t>
  </si>
  <si>
    <t>Open</t>
  </si>
  <si>
    <t>Escalated for technical inspection.</t>
  </si>
  <si>
    <t>HOW TO USE</t>
  </si>
  <si>
    <t>Record each technical problem after a readiness check. Select the hall, device, priority and status from the dropdown menus, describe the issue, and document the final resolution. The three existing rows are sample incidents and may be replaced.</t>
  </si>
  <si>
    <t>CINEMAREADY — PROJECT INFORMATION</t>
  </si>
  <si>
    <t>Educational Excel-based cinema operations and IT support prototype</t>
  </si>
  <si>
    <t>PROJECT OVERVIEW</t>
  </si>
  <si>
    <t>Project Name</t>
  </si>
  <si>
    <t>Project Type</t>
  </si>
  <si>
    <t>Educational Excel-based operations prototype</t>
  </si>
  <si>
    <t>To organize cinema screening readiness checks, equipment status, basic network information and technical incident records.</t>
  </si>
  <si>
    <t>WHAT THE WORKBOOK DOES</t>
  </si>
  <si>
    <t>1. Stores the hall, movie, date and screening start time.</t>
  </si>
  <si>
    <t>2. Tracks the projector, sound system and CCTV camera.</t>
  </si>
  <si>
    <t>3. Records simulated ping results and manually verified functional status.</t>
  </si>
  <si>
    <t>4. Calculates the readiness score and overall screening decision.</t>
  </si>
  <si>
    <t>5. Identifies a network issue or functional issue for each device.</t>
  </si>
  <si>
    <t>6. Documents technical incidents, priority, status and resolution.</t>
  </si>
  <si>
    <t>WORKFLOW</t>
  </si>
  <si>
    <t>1
PRE-SCREENING
CHECK</t>
  </si>
  <si>
    <t>2
ENTER DEVICE
STATUS</t>
  </si>
  <si>
    <t>3
REVIEW AUTOMATIC
DIAGNOSIS</t>
  </si>
  <si>
    <t>↓</t>
  </si>
  <si>
    <t>4
READINESS
DECISION</t>
  </si>
  <si>
    <t>5
RECORD AN
INCIDENT</t>
  </si>
  <si>
    <t>6
DOCUMENT THE
RESOLUTION</t>
  </si>
  <si>
    <t>EXCEL FEATURES USED</t>
  </si>
  <si>
    <t>IF and AND</t>
  </si>
  <si>
    <t>Overall readiness and device diagnosis logic</t>
  </si>
  <si>
    <t>COUNTIF</t>
  </si>
  <si>
    <t>Checks passed and incident summary counters</t>
  </si>
  <si>
    <t>Data Validation</t>
  </si>
  <si>
    <t>Dropdown menus for controlled status entry</t>
  </si>
  <si>
    <t>Conditional Formatting</t>
  </si>
  <si>
    <t>Visual highlighting of readiness, priority and incident status</t>
  </si>
  <si>
    <t>Merged sections and formatting</t>
  </si>
  <si>
    <t>Dashboard layout and readable documentation</t>
  </si>
  <si>
    <t>SIMPLE PROJECT EXPLANATION</t>
  </si>
  <si>
    <t>CinemaReady is an educational Excel-based prototype for checking whether a cinema hall is technically ready for a screening. The operator manually enters the projector, sound system and CCTV statuses. Excel calculates the readiness score, identifies possible technical issues and allows incidents to be documented.</t>
  </si>
  <si>
    <t>PROJECT SCOPE &amp; LIMITATIONS</t>
  </si>
  <si>
    <t>This is an educational operational prototype. It does not connect to real projectors, sound systems or CCTV equipment. Ping Result and Functional Status are entered manually after a check. A successful ping confirms only basic ICMP reachability and does not prove that the device itself is functioning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</si>
</sst>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font>
      <sz val="11"/>
      <name val="Carlito"/>
    </font>
    <font>
      <b/>
      <sz val="10"/>
      <color rgb="FFF5F5F5"/>
      <name val="Arial"/>
    </font>
    <font>
      <sz val="10"/>
      <color rgb="FFF5F5F5"/>
      <name val="Arial"/>
    </font>
    <font>
      <b/>
      <sz val="27"/>
      <color rgb="FFF5F5F5"/>
      <name val="Arial"/>
    </font>
    <font>
      <b/>
      <i/>
      <sz val="10"/>
      <color rgb="FFF5F5F5"/>
      <name val="Arial"/>
    </font>
    <font>
      <b/>
      <sz val="11"/>
      <color rgb="FFF5F5F5"/>
      <name val="Arial"/>
    </font>
    <font>
      <b/>
      <sz val="12"/>
      <color rgb="FFF5F5F5"/>
      <name val="Arial"/>
    </font>
    <font>
      <b/>
      <sz val="15"/>
      <color rgb="FF38D979"/>
      <name val="Arial"/>
    </font>
    <font>
      <sz val="9"/>
      <color rgb="FFBDBDBD"/>
      <name val="Arial"/>
    </font>
    <font>
      <sz val="10"/>
      <color rgb="FFE7E7E7"/>
      <name val="Arial"/>
    </font>
    <font>
      <b/>
      <sz val="22"/>
      <color rgb="FFF5F5F5"/>
      <name val="Arial"/>
    </font>
    <font>
      <b/>
      <sz val="24"/>
      <color rgb="FFE30613"/>
      <name val="Arial"/>
    </font>
    <font>
      <sz val="11"/>
      <color rgb="FFF5F5F5"/>
      <name val="Aptos"/>
    </font>
    <font>
      <b/>
      <sz val="24"/>
      <color rgb="FFF5F5F5"/>
      <name val="Aptos Display"/>
    </font>
    <font>
      <i/>
      <sz val="10"/>
      <color rgb="FFB8B8B8"/>
      <name val="Aptos"/>
    </font>
    <font>
      <b/>
      <sz val="10"/>
      <color rgb="FFF5F5F5"/>
      <name val="Aptos"/>
    </font>
    <font>
      <b/>
      <sz val="22"/>
      <color rgb="FFF5F5F5"/>
      <name val="Aptos"/>
    </font>
    <font>
      <b/>
      <sz val="22"/>
      <color rgb="FFFF747A"/>
      <name val="Aptos"/>
    </font>
    <font>
      <b/>
      <sz val="22"/>
      <color rgb="FFFFD166"/>
      <name val="Aptos"/>
    </font>
    <font>
      <b/>
      <sz val="22"/>
      <color rgb="FF55E38D"/>
      <name val="Aptos"/>
    </font>
    <font>
      <b/>
      <sz val="12"/>
      <color rgb="FFF5F5F5"/>
      <name val="Aptos"/>
    </font>
    <font>
      <sz val="10"/>
      <color rgb="FFF5F5F5"/>
      <name val="Aptos"/>
    </font>
    <font>
      <b/>
      <sz val="11"/>
      <color rgb="FFF5F5F5"/>
      <name val="Aptos"/>
    </font>
    <font>
      <sz val="10"/>
      <color rgb="FFB8B8B8"/>
      <name val="Aptos"/>
    </font>
    <font>
      <b/>
      <sz val="20"/>
      <color rgb="FFD71920"/>
      <name val="Aptos"/>
    </font>
    <font>
      <sz val="10"/>
      <color rgb="FFFFD9DB"/>
      <name val="Aptos"/>
    </font>
  </fonts>
  <fills count="24">
    <fill>
      <patternFill patternType="none"/>
    </fill>
    <fill>
      <patternFill patternType="gray125"/>
    </fill>
    <fill>
      <patternFill patternType="solid">
        <fgColor rgb="FF050505"/>
      </patternFill>
    </fill>
    <fill>
      <patternFill patternType="solid">
        <fgColor rgb="FFE30613"/>
      </patternFill>
    </fill>
    <fill>
      <patternFill patternType="solid">
        <fgColor rgb="FF171717"/>
      </patternFill>
    </fill>
    <fill>
      <patternFill patternType="solid">
        <fgColor rgb="FF56070B"/>
      </patternFill>
    </fill>
    <fill>
      <patternFill patternType="solid">
        <fgColor rgb="FF2A2A2A"/>
      </patternFill>
    </fill>
    <fill>
      <patternFill patternType="solid">
        <fgColor rgb="FF202020"/>
      </patternFill>
    </fill>
    <fill>
      <patternFill patternType="solid">
        <fgColor rgb="FF0C0C0C"/>
      </patternFill>
    </fill>
    <fill>
      <patternFill patternType="solid">
        <fgColor rgb="FF0E3B23"/>
      </patternFill>
    </fill>
    <fill>
      <patternFill patternType="solid">
        <fgColor rgb="FF171717"/>
      </patternFill>
    </fill>
    <fill>
      <patternFill patternType="solid">
        <fgColor rgb="FF56070B"/>
      </patternFill>
    </fill>
    <fill>
      <patternFill patternType="solid">
        <fgColor rgb="FF2A2A2A"/>
      </patternFill>
    </fill>
    <fill>
      <patternFill patternType="solid">
        <fgColor rgb="FFE30613"/>
      </patternFill>
    </fill>
    <fill>
      <patternFill patternType="solid">
        <fgColor rgb="FF202020"/>
      </patternFill>
    </fill>
    <fill>
      <patternFill patternType="solid">
        <fgColor rgb="FF050505"/>
      </patternFill>
    </fill>
    <fill>
      <patternFill patternType="solid">
        <fgColor rgb="FF0A0A0A"/>
      </patternFill>
    </fill>
    <fill>
      <patternFill patternType="solid">
        <fgColor rgb="FF181818"/>
      </patternFill>
    </fill>
    <fill>
      <patternFill patternType="solid">
        <fgColor rgb="FF72080D"/>
      </patternFill>
    </fill>
    <fill>
      <patternFill patternType="solid">
        <fgColor rgb="FF4C1115"/>
      </patternFill>
    </fill>
    <fill>
      <patternFill patternType="solid">
        <fgColor rgb="FF6A4600"/>
      </patternFill>
    </fill>
    <fill>
      <patternFill patternType="solid">
        <fgColor rgb="FF0E4D2D"/>
      </patternFill>
    </fill>
    <fill>
      <patternFill patternType="solid">
        <fgColor rgb="FFD71920"/>
      </patternFill>
    </fill>
    <fill>
      <patternFill patternType="solid">
        <fgColor rgb="FF242424"/>
      </patternFill>
    </fill>
  </fills>
  <borders count="8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ck">
        <color rgb="FFD71920"/>
      </bottom>
      <diagonal/>
    </border>
    <border>
      <left style="thin">
        <color rgb="FF343434"/>
      </left>
      <right/>
      <top style="thin">
        <color rgb="FF343434"/>
      </top>
      <bottom style="thin">
        <color rgb="FF343434"/>
      </bottom>
      <diagonal/>
    </border>
    <border>
      <left/>
      <right style="thin">
        <color rgb="FF343434"/>
      </right>
      <top style="thin">
        <color rgb="FF343434"/>
      </top>
      <bottom style="thin">
        <color rgb="FF343434"/>
      </bottom>
      <diagonal/>
    </border>
    <border>
      <left style="thin">
        <color rgb="FF343434"/>
      </left>
      <right/>
      <top/>
      <bottom/>
      <diagonal/>
    </border>
    <border>
      <left/>
      <right style="thin">
        <color rgb="FF343434"/>
      </right>
      <top/>
      <bottom/>
      <diagonal/>
    </border>
    <border>
      <left style="thin">
        <color rgb="FF343434"/>
      </left>
      <right/>
      <top/>
      <bottom style="thin">
        <color rgb="FF343434"/>
      </bottom>
      <diagonal/>
    </border>
    <border>
      <left/>
      <right style="thin">
        <color rgb="FF343434"/>
      </right>
      <top/>
      <bottom style="thin">
        <color rgb="FF343434"/>
      </bottom>
      <diagonal/>
    </border>
    <border>
      <left/>
      <right/>
      <top style="thin">
        <color rgb="FF343434"/>
      </top>
      <bottom style="thin">
        <color rgb="FF343434"/>
      </bottom>
      <diagonal/>
    </border>
    <border>
      <left style="thin">
        <color rgb="FF343434"/>
      </left>
      <right/>
      <top style="thin">
        <color rgb="FF343434"/>
      </top>
      <bottom/>
      <diagonal/>
    </border>
    <border>
      <left/>
      <right/>
      <top style="thin">
        <color rgb="FF343434"/>
      </top>
      <bottom/>
      <diagonal/>
    </border>
    <border>
      <left/>
      <right style="thin">
        <color rgb="FF343434"/>
      </right>
      <top style="thin">
        <color rgb="FF343434"/>
      </top>
      <bottom/>
      <diagonal/>
    </border>
    <border>
      <left/>
      <right/>
      <top/>
      <bottom style="thin">
        <color rgb="FF343434"/>
      </bottom>
      <diagonal/>
    </border>
    <border>
      <left/>
      <right/>
      <top style="thin">
        <color rgb="FFD71920"/>
      </top>
      <bottom/>
      <diagonal/>
    </border>
    <border>
      <left style="thin">
        <color rgb="FF343434"/>
      </left>
      <right/>
      <top style="thin">
        <color rgb="FFD71920"/>
      </top>
      <bottom/>
      <diagonal/>
    </border>
    <border>
      <left/>
      <right style="thin">
        <color rgb="FF343434"/>
      </right>
      <top style="thin">
        <color rgb="FFD71920"/>
      </top>
      <bottom/>
      <diagonal/>
    </border>
    <border>
      <left style="thin">
        <color rgb="FF343434"/>
      </left>
      <right/>
      <top/>
      <bottom style="thin">
        <color rgb="FFD71920"/>
      </bottom>
      <diagonal/>
    </border>
    <border>
      <left/>
      <right style="thin">
        <color rgb="FF343434"/>
      </right>
      <top/>
      <bottom style="thin">
        <color rgb="FFD71920"/>
      </bottom>
      <diagonal/>
    </border>
    <border>
      <left style="thin">
        <color rgb="FFD71920"/>
      </left>
      <right/>
      <top style="thin">
        <color rgb="FFD71920"/>
      </top>
      <bottom/>
      <diagonal/>
    </border>
    <border>
      <left/>
      <right style="thin">
        <color rgb="FFD71920"/>
      </right>
      <top style="thin">
        <color rgb="FFD71920"/>
      </top>
      <bottom/>
      <diagonal/>
    </border>
    <border>
      <left style="thin">
        <color rgb="FFD71920"/>
      </left>
      <right/>
      <top/>
      <bottom/>
      <diagonal/>
    </border>
    <border>
      <left/>
      <right style="thin">
        <color rgb="FFD71920"/>
      </right>
      <top/>
      <bottom/>
      <diagonal/>
    </border>
    <border>
      <left style="thin">
        <color rgb="FFD71920"/>
      </left>
      <right/>
      <top/>
      <bottom style="thin">
        <color rgb="FFD71920"/>
      </bottom>
      <diagonal/>
    </border>
    <border>
      <left/>
      <right/>
      <top/>
      <bottom style="thin">
        <color rgb="FFD71920"/>
      </bottom>
      <diagonal/>
    </border>
    <border>
      <left/>
      <right style="thin">
        <color rgb="FFD71920"/>
      </right>
      <top/>
      <bottom style="thin">
        <color rgb="FFD71920"/>
      </bottom>
      <diagonal/>
    </border>
  </borders>
  <cellStyleXfs count="1">
    <xf numFmtId="0" fontId="0" fillId="0" borderId="0"/>
  </cellStyleXfs>
  <cellXfs count="190">
    <xf numFmtId="0" fontId="0" fillId="0" borderId="0" xfId="0"/>
    <xf numFmtId="0" fontId="2" fillId="2" borderId="0" xfId="0" applyFont="1" applyFill="1"/>
    <xf numFmtId="0" fontId="2" fillId="2" borderId="1" xfId="0" applyFont="1" applyFill="1" applyBorder="1" applyAlignment="1">
      <alignment vertical="center"/>
    </xf>
    <xf numFmtId="0" fontId="1" fillId="5" borderId="7" xfId="0" applyFont="1" applyFill="1" applyBorder="1" applyAlignment="1">
      <alignment horizontal="center" vertical="center"/>
    </xf>
    <xf numFmtId="0" fontId="1" fillId="6" borderId="8" xfId="0" applyFont="1" applyFill="1" applyBorder="1" applyAlignment="1">
      <alignment horizontal="center" vertical="center"/>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2" fillId="7" borderId="16" xfId="0" applyFont="1" applyFill="1" applyBorder="1" applyAlignment="1">
      <alignment vertical="center" wrapText="1"/>
    </xf>
    <xf numFmtId="0" fontId="2" fillId="7" borderId="16" xfId="0" applyFont="1" applyFill="1" applyBorder="1" applyAlignment="1">
      <alignment horizontal="center" vertical="center" wrapText="1"/>
    </xf>
    <xf numFmtId="0" fontId="1" fillId="7" borderId="16" xfId="0" applyFont="1" applyFill="1" applyBorder="1" applyAlignment="1">
      <alignment horizontal="center" vertical="center" wrapText="1"/>
    </xf>
    <xf numFmtId="0" fontId="2" fillId="7" borderId="17" xfId="0" applyFont="1" applyFill="1" applyBorder="1" applyAlignment="1">
      <alignment vertical="center" wrapText="1"/>
    </xf>
    <xf numFmtId="0" fontId="2" fillId="8" borderId="16" xfId="0" applyFont="1" applyFill="1" applyBorder="1" applyAlignment="1">
      <alignment vertical="center" wrapText="1"/>
    </xf>
    <xf numFmtId="0" fontId="2" fillId="8" borderId="16" xfId="0" applyFont="1" applyFill="1" applyBorder="1" applyAlignment="1">
      <alignment horizontal="center" vertical="center" wrapText="1"/>
    </xf>
    <xf numFmtId="0" fontId="1" fillId="8" borderId="16" xfId="0" applyFont="1" applyFill="1" applyBorder="1" applyAlignment="1">
      <alignment horizontal="center" vertical="center" wrapText="1"/>
    </xf>
    <xf numFmtId="0" fontId="2" fillId="8" borderId="17" xfId="0" applyFont="1" applyFill="1" applyBorder="1" applyAlignment="1">
      <alignment vertical="center" wrapText="1"/>
    </xf>
    <xf numFmtId="0" fontId="1" fillId="7" borderId="15" xfId="0" applyFont="1" applyFill="1" applyBorder="1" applyAlignment="1">
      <alignment vertical="center" wrapText="1"/>
    </xf>
    <xf numFmtId="0" fontId="1" fillId="8" borderId="15" xfId="0" applyFont="1" applyFill="1" applyBorder="1" applyAlignment="1">
      <alignment vertical="center" wrapText="1"/>
    </xf>
    <xf numFmtId="0" fontId="9" fillId="8" borderId="29"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30" xfId="0" applyFont="1" applyFill="1" applyBorder="1" applyAlignment="1">
      <alignment horizontal="center" vertical="center" wrapText="1"/>
    </xf>
    <xf numFmtId="0" fontId="9" fillId="8" borderId="33" xfId="0" applyFont="1" applyFill="1" applyBorder="1" applyAlignment="1">
      <alignment horizontal="center" vertical="center" wrapText="1"/>
    </xf>
    <xf numFmtId="0" fontId="9" fillId="8" borderId="25" xfId="0" applyFont="1" applyFill="1" applyBorder="1" applyAlignment="1">
      <alignment horizontal="center" vertical="center" wrapText="1"/>
    </xf>
    <xf numFmtId="0" fontId="9" fillId="8" borderId="34" xfId="0" applyFont="1" applyFill="1" applyBorder="1" applyAlignment="1">
      <alignment horizontal="center" vertical="center" wrapText="1"/>
    </xf>
    <xf numFmtId="0" fontId="6" fillId="12" borderId="44" xfId="0" applyFont="1" applyFill="1" applyBorder="1" applyAlignment="1">
      <alignment horizontal="center" vertical="center"/>
    </xf>
    <xf numFmtId="0" fontId="6" fillId="12" borderId="45" xfId="0" applyFont="1" applyFill="1" applyBorder="1" applyAlignment="1">
      <alignment horizontal="center" vertical="center"/>
    </xf>
    <xf numFmtId="9" fontId="6" fillId="12" borderId="46" xfId="0" applyNumberFormat="1" applyFont="1" applyFill="1" applyBorder="1" applyAlignment="1">
      <alignment horizontal="center" vertical="center"/>
    </xf>
    <xf numFmtId="0" fontId="1" fillId="14" borderId="44" xfId="0" applyFont="1" applyFill="1" applyBorder="1" applyAlignment="1">
      <alignment vertical="center"/>
    </xf>
    <xf numFmtId="0" fontId="1" fillId="14" borderId="45" xfId="0" applyFont="1" applyFill="1" applyBorder="1" applyAlignment="1">
      <alignment vertical="center"/>
    </xf>
    <xf numFmtId="0" fontId="1" fillId="14" borderId="46" xfId="0" applyFont="1" applyFill="1" applyBorder="1" applyAlignment="1">
      <alignment vertical="center"/>
    </xf>
    <xf numFmtId="0" fontId="2" fillId="15" borderId="0" xfId="0" applyFont="1" applyFill="1"/>
    <xf numFmtId="0" fontId="11" fillId="15" borderId="0" xfId="0" applyFont="1" applyFill="1" applyAlignment="1">
      <alignment horizontal="center" vertical="center"/>
    </xf>
    <xf numFmtId="0" fontId="1" fillId="11" borderId="59" xfId="0" applyFont="1" applyFill="1" applyBorder="1" applyAlignment="1">
      <alignment horizontal="center" vertical="center"/>
    </xf>
    <xf numFmtId="0" fontId="2" fillId="12" borderId="59" xfId="0" applyFont="1" applyFill="1" applyBorder="1" applyAlignment="1">
      <alignment horizontal="center" vertical="center"/>
    </xf>
    <xf numFmtId="0" fontId="2" fillId="12" borderId="61" xfId="0" applyFont="1" applyFill="1" applyBorder="1" applyAlignment="1">
      <alignment horizontal="center" vertical="center"/>
    </xf>
    <xf numFmtId="0" fontId="2" fillId="12" borderId="62" xfId="0" applyFont="1" applyFill="1" applyBorder="1" applyAlignment="1">
      <alignment horizontal="center" vertical="center"/>
    </xf>
    <xf numFmtId="0" fontId="12" fillId="16" borderId="0" xfId="0" applyFont="1" applyFill="1"/>
    <xf numFmtId="0" fontId="15" fillId="17" borderId="64" xfId="0" applyFont="1" applyFill="1" applyBorder="1" applyAlignment="1">
      <alignment horizontal="center" vertical="center" wrapText="1"/>
    </xf>
    <xf numFmtId="0" fontId="15" fillId="17" borderId="70" xfId="0" applyFont="1" applyFill="1" applyBorder="1" applyAlignment="1">
      <alignment horizontal="center" vertical="center" wrapText="1"/>
    </xf>
    <xf numFmtId="0" fontId="15" fillId="17" borderId="65" xfId="0" applyFont="1" applyFill="1" applyBorder="1" applyAlignment="1">
      <alignment horizontal="center" vertical="center" wrapText="1"/>
    </xf>
    <xf numFmtId="0" fontId="21" fillId="23" borderId="72" xfId="0" applyFont="1" applyFill="1" applyBorder="1" applyAlignment="1">
      <alignment vertical="center" wrapText="1"/>
    </xf>
    <xf numFmtId="0" fontId="21" fillId="23" borderId="73" xfId="0" applyFont="1" applyFill="1" applyBorder="1" applyAlignment="1">
      <alignment vertical="center" wrapText="1"/>
    </xf>
    <xf numFmtId="0" fontId="21" fillId="23" borderId="0" xfId="0" applyFont="1" applyFill="1" applyAlignment="1">
      <alignment vertical="center" wrapText="1"/>
    </xf>
    <xf numFmtId="0" fontId="21" fillId="23" borderId="67" xfId="0" applyFont="1" applyFill="1" applyBorder="1" applyAlignment="1">
      <alignment vertical="center" wrapText="1"/>
    </xf>
    <xf numFmtId="0" fontId="21" fillId="23" borderId="74" xfId="0" applyFont="1" applyFill="1" applyBorder="1" applyAlignment="1">
      <alignment vertical="center" wrapText="1"/>
    </xf>
    <xf numFmtId="0" fontId="21" fillId="23" borderId="69" xfId="0" applyFont="1" applyFill="1" applyBorder="1" applyAlignment="1">
      <alignment vertical="center" wrapText="1"/>
    </xf>
    <xf numFmtId="0" fontId="21" fillId="23" borderId="71" xfId="0" applyFont="1" applyFill="1" applyBorder="1" applyAlignment="1">
      <alignment horizontal="center" vertical="center" wrapText="1"/>
    </xf>
    <xf numFmtId="0" fontId="21" fillId="23" borderId="72" xfId="0" applyFont="1" applyFill="1" applyBorder="1" applyAlignment="1">
      <alignment horizontal="center" vertical="center" wrapText="1"/>
    </xf>
    <xf numFmtId="0" fontId="21" fillId="23" borderId="66" xfId="0" applyFont="1" applyFill="1" applyBorder="1" applyAlignment="1">
      <alignment horizontal="center" vertical="center" wrapText="1"/>
    </xf>
    <xf numFmtId="0" fontId="21" fillId="23" borderId="0" xfId="0" applyFont="1" applyFill="1" applyAlignment="1">
      <alignment horizontal="center" vertical="center" wrapText="1"/>
    </xf>
    <xf numFmtId="0" fontId="21" fillId="23" borderId="68" xfId="0" applyFont="1" applyFill="1" applyBorder="1" applyAlignment="1">
      <alignment horizontal="center" vertical="center" wrapText="1"/>
    </xf>
    <xf numFmtId="0" fontId="21" fillId="23" borderId="74" xfId="0" applyFont="1" applyFill="1" applyBorder="1" applyAlignment="1">
      <alignment horizontal="center" vertical="center" wrapText="1"/>
    </xf>
    <xf numFmtId="164" fontId="21" fillId="23" borderId="72" xfId="0" applyNumberFormat="1" applyFont="1" applyFill="1" applyBorder="1" applyAlignment="1">
      <alignment horizontal="center" vertical="center" wrapText="1"/>
    </xf>
    <xf numFmtId="164" fontId="21" fillId="23" borderId="0" xfId="0" applyNumberFormat="1" applyFont="1" applyFill="1" applyAlignment="1">
      <alignment horizontal="center" vertical="center" wrapText="1"/>
    </xf>
    <xf numFmtId="164" fontId="21" fillId="23" borderId="74" xfId="0" applyNumberFormat="1" applyFont="1" applyFill="1" applyBorder="1" applyAlignment="1">
      <alignment horizontal="center" vertical="center" wrapText="1"/>
    </xf>
    <xf numFmtId="0" fontId="24" fillId="16" borderId="0" xfId="0" applyFont="1" applyFill="1" applyAlignment="1">
      <alignment horizontal="center" vertical="center"/>
    </xf>
    <xf numFmtId="0" fontId="3" fillId="2" borderId="3" xfId="0" applyFont="1" applyFill="1" applyBorder="1" applyAlignment="1">
      <alignment horizontal="center" vertical="center"/>
    </xf>
    <xf numFmtId="0" fontId="4" fillId="3" borderId="0" xfId="0" applyFont="1" applyFill="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1" fillId="6" borderId="9" xfId="0" applyFont="1" applyFill="1" applyBorder="1" applyAlignment="1">
      <alignment horizontal="center" vertical="center"/>
    </xf>
    <xf numFmtId="0" fontId="1" fillId="6" borderId="10" xfId="0" applyFont="1" applyFill="1" applyBorder="1" applyAlignment="1">
      <alignment horizontal="center" vertical="center"/>
    </xf>
    <xf numFmtId="0" fontId="1" fillId="6" borderId="11"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19" xfId="0" applyFont="1" applyFill="1" applyBorder="1" applyAlignment="1">
      <alignment horizontal="center" vertical="center"/>
    </xf>
    <xf numFmtId="0" fontId="6" fillId="3" borderId="20" xfId="0" applyFont="1" applyFill="1" applyBorder="1" applyAlignment="1">
      <alignment horizontal="center" vertical="center"/>
    </xf>
    <xf numFmtId="0" fontId="7" fillId="9" borderId="18" xfId="0" applyFont="1" applyFill="1" applyBorder="1" applyAlignment="1">
      <alignment horizontal="center" vertical="center" wrapText="1"/>
    </xf>
    <xf numFmtId="0" fontId="7" fillId="9" borderId="19" xfId="0" applyFont="1" applyFill="1" applyBorder="1" applyAlignment="1">
      <alignment horizontal="center" vertical="center" wrapText="1"/>
    </xf>
    <xf numFmtId="0" fontId="7" fillId="9" borderId="20"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8" fillId="4" borderId="24"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8" fillId="4" borderId="26" xfId="0" applyFont="1" applyFill="1" applyBorder="1" applyAlignment="1">
      <alignment horizontal="center" vertical="center" wrapText="1"/>
    </xf>
    <xf numFmtId="0" fontId="9" fillId="8" borderId="27" xfId="0" applyFont="1" applyFill="1" applyBorder="1" applyAlignment="1">
      <alignment horizontal="center" vertical="center" wrapText="1"/>
    </xf>
    <xf numFmtId="0" fontId="9" fillId="8" borderId="22" xfId="0" applyFont="1" applyFill="1" applyBorder="1" applyAlignment="1">
      <alignment horizontal="center" vertical="center" wrapText="1"/>
    </xf>
    <xf numFmtId="0" fontId="9" fillId="8" borderId="28" xfId="0" applyFont="1" applyFill="1" applyBorder="1" applyAlignment="1">
      <alignment horizontal="center" vertical="center" wrapText="1"/>
    </xf>
    <xf numFmtId="0" fontId="9" fillId="8" borderId="29"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30" xfId="0" applyFont="1" applyFill="1" applyBorder="1" applyAlignment="1">
      <alignment horizontal="center" vertical="center" wrapText="1"/>
    </xf>
    <xf numFmtId="0" fontId="9" fillId="8" borderId="3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2" xfId="0" applyFont="1" applyFill="1" applyBorder="1" applyAlignment="1">
      <alignment horizontal="center" vertical="center" wrapText="1"/>
    </xf>
    <xf numFmtId="0" fontId="5" fillId="10" borderId="35" xfId="0" applyFont="1" applyFill="1" applyBorder="1" applyAlignment="1">
      <alignment horizontal="center" vertical="center"/>
    </xf>
    <xf numFmtId="0" fontId="5" fillId="10" borderId="36" xfId="0" applyFont="1" applyFill="1" applyBorder="1" applyAlignment="1">
      <alignment horizontal="center" vertical="center"/>
    </xf>
    <xf numFmtId="0" fontId="5" fillId="10" borderId="37" xfId="0" applyFont="1" applyFill="1" applyBorder="1" applyAlignment="1">
      <alignment horizontal="center" vertical="center"/>
    </xf>
    <xf numFmtId="0" fontId="1" fillId="11" borderId="38" xfId="0" applyFont="1" applyFill="1" applyBorder="1" applyAlignment="1">
      <alignment horizontal="center" vertical="center"/>
    </xf>
    <xf numFmtId="0" fontId="1" fillId="11" borderId="39" xfId="0" applyFont="1" applyFill="1" applyBorder="1" applyAlignment="1">
      <alignment horizontal="center" vertical="center"/>
    </xf>
    <xf numFmtId="0" fontId="1" fillId="11" borderId="40" xfId="0" applyFont="1" applyFill="1" applyBorder="1" applyAlignment="1">
      <alignment horizontal="center" vertical="center"/>
    </xf>
    <xf numFmtId="0" fontId="1" fillId="11" borderId="41" xfId="0" applyFont="1" applyFill="1" applyBorder="1" applyAlignment="1">
      <alignment horizontal="center" vertical="center"/>
    </xf>
    <xf numFmtId="0" fontId="1" fillId="11" borderId="42" xfId="0" applyFont="1" applyFill="1" applyBorder="1" applyAlignment="1">
      <alignment horizontal="center" vertical="center"/>
    </xf>
    <xf numFmtId="0" fontId="1" fillId="11" borderId="43" xfId="0" applyFont="1" applyFill="1" applyBorder="1" applyAlignment="1">
      <alignment horizontal="center" vertical="center"/>
    </xf>
    <xf numFmtId="0" fontId="1" fillId="13" borderId="47" xfId="0" applyFont="1" applyFill="1" applyBorder="1" applyAlignment="1">
      <alignment horizontal="center" vertical="center"/>
    </xf>
    <xf numFmtId="0" fontId="1" fillId="13" borderId="48" xfId="0" applyFont="1" applyFill="1" applyBorder="1" applyAlignment="1">
      <alignment horizontal="center" vertical="center"/>
    </xf>
    <xf numFmtId="0" fontId="1" fillId="13" borderId="49" xfId="0" applyFont="1" applyFill="1" applyBorder="1" applyAlignment="1">
      <alignment horizontal="center" vertical="center"/>
    </xf>
    <xf numFmtId="0" fontId="1" fillId="12" borderId="38" xfId="0" applyFont="1" applyFill="1" applyBorder="1" applyAlignment="1">
      <alignment horizontal="center" vertical="center"/>
    </xf>
    <xf numFmtId="0" fontId="1" fillId="12" borderId="39" xfId="0" applyFont="1" applyFill="1" applyBorder="1" applyAlignment="1">
      <alignment horizontal="center" vertical="center"/>
    </xf>
    <xf numFmtId="0" fontId="1" fillId="12" borderId="40" xfId="0" applyFont="1" applyFill="1" applyBorder="1" applyAlignment="1">
      <alignment horizontal="center" vertical="center"/>
    </xf>
    <xf numFmtId="0" fontId="1" fillId="12" borderId="41" xfId="0" applyFont="1" applyFill="1" applyBorder="1" applyAlignment="1">
      <alignment horizontal="center" vertical="center"/>
    </xf>
    <xf numFmtId="0" fontId="1" fillId="12" borderId="42" xfId="0" applyFont="1" applyFill="1" applyBorder="1" applyAlignment="1">
      <alignment horizontal="center" vertical="center"/>
    </xf>
    <xf numFmtId="0" fontId="1" fillId="12" borderId="43" xfId="0" applyFont="1" applyFill="1" applyBorder="1" applyAlignment="1">
      <alignment horizontal="center" vertical="center"/>
    </xf>
    <xf numFmtId="0" fontId="1" fillId="10" borderId="35" xfId="0" applyFont="1" applyFill="1" applyBorder="1" applyAlignment="1">
      <alignment horizontal="center" vertical="center"/>
    </xf>
    <xf numFmtId="0" fontId="1" fillId="10" borderId="36" xfId="0" applyFont="1" applyFill="1" applyBorder="1" applyAlignment="1">
      <alignment horizontal="center" vertical="center"/>
    </xf>
    <xf numFmtId="0" fontId="1" fillId="10" borderId="37" xfId="0" applyFont="1" applyFill="1" applyBorder="1" applyAlignment="1">
      <alignment horizontal="center" vertical="center"/>
    </xf>
    <xf numFmtId="0" fontId="5" fillId="14" borderId="50" xfId="0" applyFont="1" applyFill="1" applyBorder="1" applyAlignment="1">
      <alignment horizontal="center" vertical="center" wrapText="1"/>
    </xf>
    <xf numFmtId="0" fontId="5" fillId="14" borderId="51" xfId="0" applyFont="1" applyFill="1" applyBorder="1" applyAlignment="1">
      <alignment horizontal="center" vertical="center" wrapText="1"/>
    </xf>
    <xf numFmtId="0" fontId="5" fillId="14" borderId="52" xfId="0" applyFont="1" applyFill="1" applyBorder="1" applyAlignment="1">
      <alignment horizontal="center" vertical="center" wrapText="1"/>
    </xf>
    <xf numFmtId="0" fontId="5" fillId="14" borderId="53" xfId="0" applyFont="1" applyFill="1" applyBorder="1" applyAlignment="1">
      <alignment horizontal="center" vertical="center" wrapText="1"/>
    </xf>
    <xf numFmtId="0" fontId="5" fillId="14" borderId="0" xfId="0" applyFont="1" applyFill="1" applyAlignment="1">
      <alignment horizontal="center" vertical="center" wrapText="1"/>
    </xf>
    <xf numFmtId="0" fontId="5" fillId="14" borderId="54" xfId="0" applyFont="1" applyFill="1" applyBorder="1" applyAlignment="1">
      <alignment horizontal="center" vertical="center" wrapText="1"/>
    </xf>
    <xf numFmtId="0" fontId="5" fillId="14" borderId="55" xfId="0" applyFont="1" applyFill="1" applyBorder="1" applyAlignment="1">
      <alignment horizontal="center" vertical="center" wrapText="1"/>
    </xf>
    <xf numFmtId="0" fontId="5" fillId="14" borderId="56" xfId="0" applyFont="1" applyFill="1" applyBorder="1" applyAlignment="1">
      <alignment horizontal="center" vertical="center" wrapText="1"/>
    </xf>
    <xf numFmtId="0" fontId="5" fillId="14" borderId="57" xfId="0" applyFont="1" applyFill="1" applyBorder="1" applyAlignment="1">
      <alignment horizontal="center" vertical="center" wrapText="1"/>
    </xf>
    <xf numFmtId="0" fontId="10" fillId="15" borderId="58" xfId="0" applyFont="1" applyFill="1" applyBorder="1" applyAlignment="1">
      <alignment horizontal="center" vertical="center"/>
    </xf>
    <xf numFmtId="0" fontId="1" fillId="13" borderId="0" xfId="0" applyFont="1" applyFill="1" applyAlignment="1">
      <alignment horizontal="center" vertical="center"/>
    </xf>
    <xf numFmtId="0" fontId="1" fillId="11" borderId="38"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1" fillId="11" borderId="42" xfId="0" applyFont="1" applyFill="1" applyBorder="1" applyAlignment="1">
      <alignment horizontal="center" vertical="center" wrapText="1"/>
    </xf>
    <xf numFmtId="0" fontId="1" fillId="11" borderId="43" xfId="0" applyFont="1" applyFill="1" applyBorder="1" applyAlignment="1">
      <alignment horizontal="center" vertical="center" wrapText="1"/>
    </xf>
    <xf numFmtId="0" fontId="2" fillId="12" borderId="60" xfId="0" applyFont="1" applyFill="1" applyBorder="1" applyAlignment="1">
      <alignment horizontal="center" vertical="center"/>
    </xf>
    <xf numFmtId="0" fontId="2" fillId="12" borderId="61" xfId="0" applyFont="1" applyFill="1" applyBorder="1" applyAlignment="1">
      <alignment horizontal="center" vertical="center"/>
    </xf>
    <xf numFmtId="0" fontId="2" fillId="12" borderId="62" xfId="0" applyFont="1" applyFill="1" applyBorder="1" applyAlignment="1">
      <alignment horizontal="center" vertical="center"/>
    </xf>
    <xf numFmtId="0" fontId="13" fillId="16" borderId="0" xfId="0" applyFont="1" applyFill="1" applyAlignment="1">
      <alignment horizontal="center" vertical="center"/>
    </xf>
    <xf numFmtId="0" fontId="13" fillId="16" borderId="63" xfId="0" applyFont="1" applyFill="1" applyBorder="1" applyAlignment="1">
      <alignment horizontal="center" vertical="center"/>
    </xf>
    <xf numFmtId="0" fontId="14" fillId="17" borderId="0" xfId="0" applyFont="1" applyFill="1" applyAlignment="1">
      <alignment horizontal="center" vertical="center"/>
    </xf>
    <xf numFmtId="0" fontId="15" fillId="17" borderId="64" xfId="0" applyFont="1" applyFill="1" applyBorder="1" applyAlignment="1">
      <alignment horizontal="center" vertical="center"/>
    </xf>
    <xf numFmtId="0" fontId="15" fillId="17" borderId="65" xfId="0" applyFont="1" applyFill="1" applyBorder="1" applyAlignment="1">
      <alignment horizontal="center" vertical="center"/>
    </xf>
    <xf numFmtId="0" fontId="15" fillId="18" borderId="64" xfId="0" applyFont="1" applyFill="1" applyBorder="1" applyAlignment="1">
      <alignment horizontal="center" vertical="center"/>
    </xf>
    <xf numFmtId="0" fontId="15" fillId="18" borderId="65" xfId="0" applyFont="1" applyFill="1" applyBorder="1" applyAlignment="1">
      <alignment horizontal="center" vertical="center"/>
    </xf>
    <xf numFmtId="0" fontId="16" fillId="17" borderId="66" xfId="0" applyFont="1" applyFill="1" applyBorder="1" applyAlignment="1">
      <alignment horizontal="center" vertical="center"/>
    </xf>
    <xf numFmtId="0" fontId="16" fillId="17" borderId="67" xfId="0" applyFont="1" applyFill="1" applyBorder="1" applyAlignment="1">
      <alignment horizontal="center" vertical="center"/>
    </xf>
    <xf numFmtId="0" fontId="16" fillId="17" borderId="68" xfId="0" applyFont="1" applyFill="1" applyBorder="1" applyAlignment="1">
      <alignment horizontal="center" vertical="center"/>
    </xf>
    <xf numFmtId="0" fontId="16" fillId="17" borderId="69" xfId="0" applyFont="1" applyFill="1" applyBorder="1" applyAlignment="1">
      <alignment horizontal="center" vertical="center"/>
    </xf>
    <xf numFmtId="0" fontId="17" fillId="19" borderId="66" xfId="0" applyFont="1" applyFill="1" applyBorder="1" applyAlignment="1">
      <alignment horizontal="center" vertical="center"/>
    </xf>
    <xf numFmtId="0" fontId="17" fillId="19" borderId="67" xfId="0" applyFont="1" applyFill="1" applyBorder="1" applyAlignment="1">
      <alignment horizontal="center" vertical="center"/>
    </xf>
    <xf numFmtId="0" fontId="17" fillId="19" borderId="68" xfId="0" applyFont="1" applyFill="1" applyBorder="1" applyAlignment="1">
      <alignment horizontal="center" vertical="center"/>
    </xf>
    <xf numFmtId="0" fontId="17" fillId="19" borderId="69" xfId="0" applyFont="1" applyFill="1" applyBorder="1" applyAlignment="1">
      <alignment horizontal="center" vertical="center"/>
    </xf>
    <xf numFmtId="0" fontId="18" fillId="20" borderId="66" xfId="0" applyFont="1" applyFill="1" applyBorder="1" applyAlignment="1">
      <alignment horizontal="center" vertical="center"/>
    </xf>
    <xf numFmtId="0" fontId="18" fillId="20" borderId="67" xfId="0" applyFont="1" applyFill="1" applyBorder="1" applyAlignment="1">
      <alignment horizontal="center" vertical="center"/>
    </xf>
    <xf numFmtId="0" fontId="18" fillId="20" borderId="68" xfId="0" applyFont="1" applyFill="1" applyBorder="1" applyAlignment="1">
      <alignment horizontal="center" vertical="center"/>
    </xf>
    <xf numFmtId="0" fontId="18" fillId="20" borderId="69" xfId="0" applyFont="1" applyFill="1" applyBorder="1" applyAlignment="1">
      <alignment horizontal="center" vertical="center"/>
    </xf>
    <xf numFmtId="0" fontId="19" fillId="21" borderId="66" xfId="0" applyFont="1" applyFill="1" applyBorder="1" applyAlignment="1">
      <alignment horizontal="center" vertical="center"/>
    </xf>
    <xf numFmtId="0" fontId="19" fillId="21" borderId="67" xfId="0" applyFont="1" applyFill="1" applyBorder="1" applyAlignment="1">
      <alignment horizontal="center" vertical="center"/>
    </xf>
    <xf numFmtId="0" fontId="19" fillId="21" borderId="68" xfId="0" applyFont="1" applyFill="1" applyBorder="1" applyAlignment="1">
      <alignment horizontal="center" vertical="center"/>
    </xf>
    <xf numFmtId="0" fontId="19" fillId="21" borderId="69" xfId="0" applyFont="1" applyFill="1" applyBorder="1" applyAlignment="1">
      <alignment horizontal="center" vertical="center"/>
    </xf>
    <xf numFmtId="0" fontId="20" fillId="22" borderId="0" xfId="0" applyFont="1" applyFill="1" applyAlignment="1">
      <alignment horizontal="center" vertical="center"/>
    </xf>
    <xf numFmtId="0" fontId="22" fillId="17" borderId="75" xfId="0" applyFont="1" applyFill="1" applyBorder="1" applyAlignment="1">
      <alignment horizontal="center" vertical="center"/>
    </xf>
    <xf numFmtId="0" fontId="23" fillId="17" borderId="66" xfId="0" applyFont="1" applyFill="1" applyBorder="1" applyAlignment="1">
      <alignment horizontal="left" vertical="center" wrapText="1"/>
    </xf>
    <xf numFmtId="0" fontId="23" fillId="17" borderId="0" xfId="0" applyFont="1" applyFill="1" applyAlignment="1">
      <alignment horizontal="left" vertical="center" wrapText="1"/>
    </xf>
    <xf numFmtId="0" fontId="23" fillId="17" borderId="67" xfId="0" applyFont="1" applyFill="1" applyBorder="1" applyAlignment="1">
      <alignment horizontal="left" vertical="center" wrapText="1"/>
    </xf>
    <xf numFmtId="0" fontId="23" fillId="17" borderId="68" xfId="0" applyFont="1" applyFill="1" applyBorder="1" applyAlignment="1">
      <alignment horizontal="left" vertical="center" wrapText="1"/>
    </xf>
    <xf numFmtId="0" fontId="23" fillId="17" borderId="74" xfId="0" applyFont="1" applyFill="1" applyBorder="1" applyAlignment="1">
      <alignment horizontal="left" vertical="center" wrapText="1"/>
    </xf>
    <xf numFmtId="0" fontId="23" fillId="17" borderId="69" xfId="0" applyFont="1" applyFill="1" applyBorder="1" applyAlignment="1">
      <alignment horizontal="left" vertical="center" wrapText="1"/>
    </xf>
    <xf numFmtId="0" fontId="22" fillId="18" borderId="64" xfId="0" applyFont="1" applyFill="1" applyBorder="1" applyAlignment="1">
      <alignment horizontal="center" vertical="center"/>
    </xf>
    <xf numFmtId="0" fontId="22" fillId="18" borderId="65" xfId="0" applyFont="1" applyFill="1" applyBorder="1" applyAlignment="1">
      <alignment horizontal="center" vertical="center"/>
    </xf>
    <xf numFmtId="0" fontId="12" fillId="23" borderId="64" xfId="0" applyFont="1" applyFill="1" applyBorder="1" applyAlignment="1">
      <alignment horizontal="left" vertical="center" wrapText="1"/>
    </xf>
    <xf numFmtId="0" fontId="12" fillId="23" borderId="70" xfId="0" applyFont="1" applyFill="1" applyBorder="1" applyAlignment="1">
      <alignment horizontal="left" vertical="center" wrapText="1"/>
    </xf>
    <xf numFmtId="0" fontId="12" fillId="23" borderId="65" xfId="0" applyFont="1" applyFill="1" applyBorder="1" applyAlignment="1">
      <alignment horizontal="left" vertical="center" wrapText="1"/>
    </xf>
    <xf numFmtId="0" fontId="21" fillId="23" borderId="74" xfId="0" applyFont="1" applyFill="1" applyBorder="1" applyAlignment="1">
      <alignment horizontal="left" vertical="center"/>
    </xf>
    <xf numFmtId="0" fontId="21" fillId="17" borderId="74" xfId="0" applyFont="1" applyFill="1" applyBorder="1" applyAlignment="1">
      <alignment horizontal="left" vertical="center"/>
    </xf>
    <xf numFmtId="0" fontId="22" fillId="23" borderId="76" xfId="0" applyFont="1" applyFill="1" applyBorder="1" applyAlignment="1">
      <alignment horizontal="center" vertical="center" wrapText="1"/>
    </xf>
    <xf numFmtId="0" fontId="22" fillId="23" borderId="77" xfId="0" applyFont="1" applyFill="1" applyBorder="1" applyAlignment="1">
      <alignment horizontal="center" vertical="center" wrapText="1"/>
    </xf>
    <xf numFmtId="0" fontId="22" fillId="23" borderId="66" xfId="0" applyFont="1" applyFill="1" applyBorder="1" applyAlignment="1">
      <alignment horizontal="center" vertical="center" wrapText="1"/>
    </xf>
    <xf numFmtId="0" fontId="22" fillId="23" borderId="67" xfId="0" applyFont="1" applyFill="1" applyBorder="1" applyAlignment="1">
      <alignment horizontal="center" vertical="center" wrapText="1"/>
    </xf>
    <xf numFmtId="0" fontId="22" fillId="23" borderId="78" xfId="0" applyFont="1" applyFill="1" applyBorder="1" applyAlignment="1">
      <alignment horizontal="center" vertical="center" wrapText="1"/>
    </xf>
    <xf numFmtId="0" fontId="22" fillId="23" borderId="79" xfId="0" applyFont="1" applyFill="1" applyBorder="1" applyAlignment="1">
      <alignment horizontal="center" vertical="center" wrapText="1"/>
    </xf>
    <xf numFmtId="0" fontId="24" fillId="16" borderId="0" xfId="0" applyFont="1" applyFill="1" applyAlignment="1">
      <alignment horizontal="center" vertical="center"/>
    </xf>
    <xf numFmtId="0" fontId="22" fillId="18" borderId="70" xfId="0" applyFont="1" applyFill="1" applyBorder="1" applyAlignment="1">
      <alignment horizontal="center" vertical="center"/>
    </xf>
    <xf numFmtId="0" fontId="12" fillId="17" borderId="64" xfId="0" applyFont="1" applyFill="1" applyBorder="1" applyAlignment="1">
      <alignment horizontal="left" vertical="center" wrapText="1"/>
    </xf>
    <xf numFmtId="0" fontId="12" fillId="17" borderId="70" xfId="0" applyFont="1" applyFill="1" applyBorder="1" applyAlignment="1">
      <alignment horizontal="left" vertical="center" wrapText="1"/>
    </xf>
    <xf numFmtId="0" fontId="12" fillId="17" borderId="65" xfId="0" applyFont="1" applyFill="1" applyBorder="1" applyAlignment="1">
      <alignment horizontal="left" vertical="center" wrapText="1"/>
    </xf>
    <xf numFmtId="0" fontId="12" fillId="17" borderId="66" xfId="0" applyFont="1" applyFill="1" applyBorder="1" applyAlignment="1">
      <alignment horizontal="left" vertical="center" wrapText="1"/>
    </xf>
    <xf numFmtId="0" fontId="12" fillId="17" borderId="0" xfId="0" applyFont="1" applyFill="1" applyAlignment="1">
      <alignment horizontal="left" vertical="center" wrapText="1"/>
    </xf>
    <xf numFmtId="0" fontId="12" fillId="17" borderId="67" xfId="0" applyFont="1" applyFill="1" applyBorder="1" applyAlignment="1">
      <alignment horizontal="left" vertical="center" wrapText="1"/>
    </xf>
    <xf numFmtId="0" fontId="12" fillId="17" borderId="68" xfId="0" applyFont="1" applyFill="1" applyBorder="1" applyAlignment="1">
      <alignment horizontal="left" vertical="center" wrapText="1"/>
    </xf>
    <xf numFmtId="0" fontId="12" fillId="17" borderId="74" xfId="0" applyFont="1" applyFill="1" applyBorder="1" applyAlignment="1">
      <alignment horizontal="left" vertical="center" wrapText="1"/>
    </xf>
    <xf numFmtId="0" fontId="12" fillId="17" borderId="69" xfId="0" applyFont="1" applyFill="1" applyBorder="1" applyAlignment="1">
      <alignment horizontal="left" vertical="center" wrapText="1"/>
    </xf>
    <xf numFmtId="0" fontId="25" fillId="19" borderId="80" xfId="0" applyFont="1" applyFill="1" applyBorder="1" applyAlignment="1">
      <alignment horizontal="left" vertical="center" wrapText="1"/>
    </xf>
    <xf numFmtId="0" fontId="25" fillId="19" borderId="75" xfId="0" applyFont="1" applyFill="1" applyBorder="1" applyAlignment="1">
      <alignment horizontal="left" vertical="center" wrapText="1"/>
    </xf>
    <xf numFmtId="0" fontId="25" fillId="19" borderId="81" xfId="0" applyFont="1" applyFill="1" applyBorder="1" applyAlignment="1">
      <alignment horizontal="left" vertical="center" wrapText="1"/>
    </xf>
    <xf numFmtId="0" fontId="25" fillId="19" borderId="82" xfId="0" applyFont="1" applyFill="1" applyBorder="1" applyAlignment="1">
      <alignment horizontal="left" vertical="center" wrapText="1"/>
    </xf>
    <xf numFmtId="0" fontId="25" fillId="19" borderId="0" xfId="0" applyFont="1" applyFill="1" applyAlignment="1">
      <alignment horizontal="left" vertical="center" wrapText="1"/>
    </xf>
    <xf numFmtId="0" fontId="25" fillId="19" borderId="83" xfId="0" applyFont="1" applyFill="1" applyBorder="1" applyAlignment="1">
      <alignment horizontal="left" vertical="center" wrapText="1"/>
    </xf>
    <xf numFmtId="0" fontId="25" fillId="19" borderId="84" xfId="0" applyFont="1" applyFill="1" applyBorder="1" applyAlignment="1">
      <alignment horizontal="left" vertical="center" wrapText="1"/>
    </xf>
    <xf numFmtId="0" fontId="25" fillId="19" borderId="85" xfId="0" applyFont="1" applyFill="1" applyBorder="1" applyAlignment="1">
      <alignment horizontal="left" vertical="center" wrapText="1"/>
    </xf>
    <xf numFmtId="0" fontId="25" fillId="19" borderId="86" xfId="0" applyFont="1" applyFill="1" applyBorder="1" applyAlignment="1">
      <alignment horizontal="left" vertical="center" wrapText="1"/>
    </xf>
    <xf numFmtId="0" fontId="1" fillId="11" borderId="59" xfId="0" applyFont="1" applyFill="1" applyBorder="1" applyAlignment="1">
      <alignment vertical="center" wrapText="1"/>
    </xf>
    <xf numFmtId="0" fontId="2" fillId="12" borderId="60" xfId="0" applyFont="1" applyFill="1" applyBorder="1" applyAlignment="1">
      <alignment horizontal="center" vertical="center" wrapText="1"/>
    </xf>
  </cellXfs>
  <cellStyles count="1">
    <cellStyle name="Normal" xfId="0" builtinId="0"/>
  </cellStyles>
  <dxfs count="33">
    <dxf>
      <font>
        <b/>
        <color rgb="FFFFFFFF"/>
      </font>
      <fill>
        <patternFill>
          <bgColor rgb="FF5A0A0E"/>
        </patternFill>
      </fill>
    </dxf>
    <dxf>
      <font>
        <b/>
        <color rgb="FFFFFFFF"/>
      </font>
      <fill>
        <patternFill>
          <bgColor rgb="FF5A0A0E"/>
        </patternFill>
      </fill>
    </dxf>
    <dxf>
      <font>
        <b/>
        <color rgb="FF38D979"/>
      </font>
      <fill>
        <patternFill>
          <bgColor rgb="FF0E3B23"/>
        </patternFill>
      </fill>
    </dxf>
    <dxf>
      <font>
        <b/>
        <color rgb="FFFFD86B"/>
      </font>
      <fill>
        <patternFill patternType="solid">
          <bgColor rgb="FF7A5200"/>
        </patternFill>
      </fill>
    </dxf>
    <dxf>
      <font>
        <b/>
        <color rgb="FFFFFFFF"/>
      </font>
      <fill>
        <patternFill>
          <bgColor rgb="FF5A0A0E"/>
        </patternFill>
      </fill>
    </dxf>
    <dxf>
      <font>
        <b/>
        <color rgb="FF38D979"/>
      </font>
      <fill>
        <patternFill>
          <bgColor rgb="FF0E3B23"/>
        </patternFill>
      </fill>
    </dxf>
    <dxf>
      <font>
        <b/>
        <color rgb="FFFF9DA1"/>
      </font>
      <fill>
        <patternFill>
          <bgColor rgb="FF5A0A0E"/>
        </patternFill>
      </fill>
    </dxf>
    <dxf>
      <font>
        <b/>
        <color rgb="FF38D979"/>
      </font>
      <fill>
        <patternFill>
          <bgColor rgb="FF123421"/>
        </patternFill>
      </fill>
    </dxf>
    <dxf>
      <font>
        <b/>
        <sz val="14"/>
        <color rgb="FFFFFFFF"/>
      </font>
      <fill>
        <patternFill>
          <bgColor rgb="FF5A0A0E"/>
        </patternFill>
      </fill>
    </dxf>
    <dxf>
      <font>
        <b/>
        <sz val="15"/>
        <color rgb="FF38D979"/>
      </font>
      <fill>
        <patternFill>
          <bgColor rgb="FF0E3B23"/>
        </patternFill>
      </fill>
    </dxf>
    <dxf>
      <font>
        <b/>
        <color rgb="FFF4C95D"/>
      </font>
      <fill>
        <patternFill>
          <bgColor rgb="FF2A2A2A"/>
        </patternFill>
      </fill>
    </dxf>
    <dxf>
      <font>
        <b/>
        <color rgb="FFFF9DA1"/>
      </font>
      <fill>
        <patternFill>
          <bgColor rgb="FF5A0A0E"/>
        </patternFill>
      </fill>
    </dxf>
    <dxf>
      <font>
        <b/>
        <color rgb="FF38D979"/>
      </font>
      <fill>
        <patternFill>
          <bgColor rgb="FF123421"/>
        </patternFill>
      </fill>
    </dxf>
    <dxf>
      <font>
        <b/>
        <color rgb="FFFFFFFF"/>
      </font>
      <fill>
        <patternFill>
          <bgColor rgb="FF5A0A0E"/>
        </patternFill>
      </fill>
    </dxf>
    <dxf>
      <font>
        <b/>
        <color rgb="FFFFFFFF"/>
      </font>
      <fill>
        <patternFill>
          <bgColor rgb="FF5A0A0E"/>
        </patternFill>
      </fill>
    </dxf>
    <dxf>
      <font>
        <b/>
        <color rgb="FF38D979"/>
      </font>
      <fill>
        <patternFill>
          <bgColor rgb="FF0E3B23"/>
        </patternFill>
      </fill>
    </dxf>
    <dxf>
      <font>
        <b/>
        <color rgb="FFFFD86B"/>
      </font>
      <fill>
        <patternFill patternType="solid">
          <bgColor rgb="FF7A5200"/>
        </patternFill>
      </fill>
    </dxf>
    <dxf>
      <font>
        <b/>
        <color rgb="FFFFFFFF"/>
      </font>
      <fill>
        <patternFill>
          <bgColor rgb="FF5A0A0E"/>
        </patternFill>
      </fill>
    </dxf>
    <dxf>
      <font>
        <b/>
        <color rgb="FF38D979"/>
      </font>
      <fill>
        <patternFill>
          <bgColor rgb="FF0E3B23"/>
        </patternFill>
      </fill>
    </dxf>
    <dxf>
      <font>
        <b/>
        <color rgb="FFFF9DA1"/>
      </font>
      <fill>
        <patternFill>
          <bgColor rgb="FF5A0A0E"/>
        </patternFill>
      </fill>
    </dxf>
    <dxf>
      <font>
        <b/>
        <color rgb="FF38D979"/>
      </font>
      <fill>
        <patternFill>
          <bgColor rgb="FF123421"/>
        </patternFill>
      </fill>
    </dxf>
    <dxf>
      <font>
        <b/>
        <sz val="14"/>
        <color rgb="FFFFFFFF"/>
      </font>
      <fill>
        <patternFill>
          <bgColor rgb="FF5A0A0E"/>
        </patternFill>
      </fill>
    </dxf>
    <dxf>
      <font>
        <b/>
        <sz val="15"/>
        <color rgb="FF38D979"/>
      </font>
      <fill>
        <patternFill>
          <bgColor rgb="FF0E3B23"/>
        </patternFill>
      </fill>
    </dxf>
    <dxf>
      <font>
        <b/>
        <color rgb="FFF4C95D"/>
      </font>
      <fill>
        <patternFill>
          <bgColor rgb="FF2A2A2A"/>
        </patternFill>
      </fill>
    </dxf>
    <dxf>
      <font>
        <b/>
        <color rgb="FFFF9DA1"/>
      </font>
      <fill>
        <patternFill>
          <bgColor rgb="FF5A0A0E"/>
        </patternFill>
      </fill>
    </dxf>
    <dxf>
      <font>
        <b/>
        <color rgb="FF38D979"/>
      </font>
      <fill>
        <patternFill>
          <bgColor rgb="FF123421"/>
        </patternFill>
      </fill>
    </dxf>
    <dxf>
      <font>
        <b/>
        <color rgb="FF55E38D"/>
      </font>
      <fill>
        <patternFill>
          <bgColor rgb="FF0E4D2D"/>
        </patternFill>
      </fill>
    </dxf>
    <dxf>
      <font>
        <b/>
        <color rgb="FFFFD166"/>
      </font>
      <fill>
        <patternFill>
          <bgColor rgb="FF6A4600"/>
        </patternFill>
      </fill>
    </dxf>
    <dxf>
      <font>
        <b/>
        <color rgb="FFFF747A"/>
      </font>
      <fill>
        <patternFill>
          <bgColor rgb="FF4C1115"/>
        </patternFill>
      </fill>
    </dxf>
    <dxf>
      <font>
        <b/>
        <color rgb="FF55E38D"/>
      </font>
      <fill>
        <patternFill>
          <bgColor rgb="FF173A2A"/>
        </patternFill>
      </fill>
    </dxf>
    <dxf>
      <font>
        <b/>
        <color rgb="FFFFD166"/>
      </font>
      <fill>
        <patternFill>
          <bgColor rgb="FF6A4600"/>
        </patternFill>
      </fill>
    </dxf>
    <dxf>
      <font>
        <b/>
        <color rgb="FFFF9A9E"/>
      </font>
      <fill>
        <patternFill>
          <bgColor rgb="FF4C1115"/>
        </patternFill>
      </fill>
    </dxf>
    <dxf>
      <font>
        <b/>
        <color rgb="FFFFFFFF"/>
      </font>
      <fill>
        <patternFill>
          <bgColor rgb="FF7A0B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opLeftCell="A8" workbookViewId="0">
      <selection activeCell="C31" sqref="C31"/>
    </sheetView>
  </sheetViews>
  <sheetFormatPr defaultRowHeight="14.25"/>
  <cols>
    <col min="1" max="1" width="20" customWidth="1"/>
    <col min="2" max="2" width="23" customWidth="1"/>
    <col min="3" max="3" width="18" customWidth="1"/>
    <col min="4" max="4" width="16" customWidth="1"/>
    <col min="5" max="5" width="18" customWidth="1"/>
    <col min="6" max="6" width="21" customWidth="1"/>
    <col min="7" max="7" width="23" customWidth="1"/>
    <col min="8" max="8" width="3" customWidth="1"/>
    <col min="9" max="10" width="18" customWidth="1"/>
    <col min="11" max="11" width="16" customWidth="1"/>
  </cols>
  <sheetData>
    <row r="1" spans="1:11" ht="45" customHeight="1">
      <c r="A1" s="56" t="s">
        <v>0</v>
      </c>
      <c r="B1" s="56"/>
      <c r="C1" s="56"/>
      <c r="D1" s="56"/>
      <c r="E1" s="56"/>
      <c r="F1" s="56"/>
      <c r="G1" s="56"/>
    </row>
    <row r="2" spans="1:11" ht="26.1" customHeight="1">
      <c r="A2" s="57" t="s">
        <v>1</v>
      </c>
      <c r="B2" s="57"/>
      <c r="C2" s="57"/>
      <c r="D2" s="57"/>
      <c r="E2" s="57"/>
      <c r="F2" s="57"/>
      <c r="G2" s="57"/>
    </row>
    <row r="3" spans="1:11" ht="9" customHeight="1">
      <c r="A3" s="1"/>
      <c r="B3" s="1"/>
      <c r="C3" s="1"/>
      <c r="D3" s="1"/>
      <c r="E3" s="1"/>
      <c r="F3" s="1"/>
      <c r="G3" s="1"/>
    </row>
    <row r="4" spans="1:11" ht="27.95" customHeight="1">
      <c r="A4" s="58" t="s">
        <v>2</v>
      </c>
      <c r="B4" s="59"/>
      <c r="C4" s="59"/>
      <c r="D4" s="59"/>
      <c r="E4" s="59"/>
      <c r="F4" s="59"/>
      <c r="G4" s="60"/>
      <c r="I4" s="85" t="s">
        <v>3</v>
      </c>
      <c r="J4" s="86"/>
      <c r="K4" s="87"/>
    </row>
    <row r="5" spans="1:11" ht="27" customHeight="1">
      <c r="A5" s="3" t="s">
        <v>4</v>
      </c>
      <c r="B5" s="4" t="s">
        <v>5</v>
      </c>
      <c r="C5" s="3" t="s">
        <v>6</v>
      </c>
      <c r="D5" s="4" t="s">
        <v>7</v>
      </c>
      <c r="E5" s="3" t="s">
        <v>8</v>
      </c>
      <c r="F5" s="4" t="s">
        <v>9</v>
      </c>
      <c r="G5" s="2"/>
      <c r="I5" s="88" t="s">
        <v>10</v>
      </c>
      <c r="J5" s="89"/>
      <c r="K5" s="24">
        <f>COUNTIF(D14:D16,"Reply")+COUNTIF(E14:E16,"Online")</f>
        <v>6</v>
      </c>
    </row>
    <row r="6" spans="1:11" ht="27" customHeight="1">
      <c r="A6" s="3" t="s">
        <v>11</v>
      </c>
      <c r="B6" s="61" t="s">
        <v>12</v>
      </c>
      <c r="C6" s="62"/>
      <c r="D6" s="62"/>
      <c r="E6" s="62"/>
      <c r="F6" s="62"/>
      <c r="G6" s="63"/>
      <c r="I6" s="90" t="s">
        <v>13</v>
      </c>
      <c r="J6" s="91"/>
      <c r="K6" s="25">
        <v>6</v>
      </c>
    </row>
    <row r="7" spans="1:11" ht="27" customHeight="1">
      <c r="A7" s="1"/>
      <c r="B7" s="1"/>
      <c r="C7" s="1"/>
      <c r="D7" s="1"/>
      <c r="E7" s="1"/>
      <c r="F7" s="1"/>
      <c r="G7" s="1"/>
      <c r="I7" s="92" t="s">
        <v>14</v>
      </c>
      <c r="J7" s="93"/>
      <c r="K7" s="26">
        <f>K5/K6</f>
        <v>1</v>
      </c>
    </row>
    <row r="8" spans="1:11" ht="27.95" customHeight="1">
      <c r="A8" s="58" t="s">
        <v>15</v>
      </c>
      <c r="B8" s="59"/>
      <c r="C8" s="59"/>
      <c r="D8" s="59"/>
      <c r="E8" s="59"/>
      <c r="F8" s="59"/>
      <c r="G8" s="60"/>
    </row>
    <row r="9" spans="1:11" ht="27.95" customHeight="1">
      <c r="A9" s="3" t="s">
        <v>16</v>
      </c>
      <c r="B9" s="4" t="s">
        <v>17</v>
      </c>
      <c r="C9" s="3" t="s">
        <v>18</v>
      </c>
      <c r="D9" s="4" t="s">
        <v>19</v>
      </c>
      <c r="E9" s="3" t="s">
        <v>20</v>
      </c>
      <c r="F9" s="4" t="s">
        <v>21</v>
      </c>
      <c r="G9" s="2"/>
      <c r="I9" s="94" t="s">
        <v>22</v>
      </c>
      <c r="J9" s="95"/>
      <c r="K9" s="96"/>
    </row>
    <row r="10" spans="1:11" ht="27.95" customHeight="1">
      <c r="A10" s="3" t="s">
        <v>23</v>
      </c>
      <c r="B10" s="61" t="s">
        <v>24</v>
      </c>
      <c r="C10" s="62"/>
      <c r="D10" s="62"/>
      <c r="E10" s="62"/>
      <c r="F10" s="62"/>
      <c r="G10" s="63"/>
      <c r="I10" s="27" t="s">
        <v>25</v>
      </c>
      <c r="J10" s="97" t="str">
        <f>IF(OR(D14="",E14="",D14="Not Tested",E14="Not Tested"),"CHECK REQUIRED",IF(D14="No Reply","NETWORK ISSUE",IF(E14="Offline","FUNCTION ISSUE","OK")))</f>
        <v>OK</v>
      </c>
      <c r="K10" s="98"/>
    </row>
    <row r="11" spans="1:11" ht="27.95" customHeight="1">
      <c r="A11" s="1"/>
      <c r="B11" s="1"/>
      <c r="C11" s="1"/>
      <c r="D11" s="1"/>
      <c r="E11" s="1"/>
      <c r="F11" s="1"/>
      <c r="G11" s="1"/>
      <c r="I11" s="28" t="s">
        <v>26</v>
      </c>
      <c r="J11" s="99" t="str">
        <f>IF(OR(D15="",E15="",D15="Not Tested",E15="Not Tested"),"CHECK REQUIRED",IF(D15="No Reply","NETWORK ISSUE",IF(E15="Offline","FUNCTION ISSUE","OK")))</f>
        <v>OK</v>
      </c>
      <c r="K11" s="100"/>
    </row>
    <row r="12" spans="1:11" ht="27.95" customHeight="1">
      <c r="A12" s="58" t="s">
        <v>27</v>
      </c>
      <c r="B12" s="59"/>
      <c r="C12" s="59"/>
      <c r="D12" s="59"/>
      <c r="E12" s="59"/>
      <c r="F12" s="59"/>
      <c r="G12" s="60"/>
      <c r="I12" s="29" t="s">
        <v>28</v>
      </c>
      <c r="J12" s="101" t="str">
        <f>IF(OR(D16="",E16="",D16="Not Tested",E16="Not Tested"),"CHECK REQUIRED",IF(D16="No Reply","NETWORK ISSUE",IF(E16="Offline","FUNCTION ISSUE","OK")))</f>
        <v>OK</v>
      </c>
      <c r="K12" s="102"/>
    </row>
    <row r="13" spans="1:11" ht="36" customHeight="1">
      <c r="A13" s="5" t="s">
        <v>29</v>
      </c>
      <c r="B13" s="6" t="s">
        <v>30</v>
      </c>
      <c r="C13" s="6" t="s">
        <v>31</v>
      </c>
      <c r="D13" s="6" t="s">
        <v>32</v>
      </c>
      <c r="E13" s="6" t="s">
        <v>33</v>
      </c>
      <c r="F13" s="6" t="s">
        <v>34</v>
      </c>
      <c r="G13" s="7" t="s">
        <v>35</v>
      </c>
    </row>
    <row r="14" spans="1:11" ht="33" customHeight="1">
      <c r="A14" s="16" t="s">
        <v>25</v>
      </c>
      <c r="B14" s="8" t="s">
        <v>36</v>
      </c>
      <c r="C14" s="9" t="s">
        <v>37</v>
      </c>
      <c r="D14" s="10" t="s">
        <v>38</v>
      </c>
      <c r="E14" s="10" t="s">
        <v>39</v>
      </c>
      <c r="F14" s="8" t="s">
        <v>40</v>
      </c>
      <c r="G14" s="11"/>
      <c r="I14" s="103" t="s">
        <v>41</v>
      </c>
      <c r="J14" s="104"/>
      <c r="K14" s="105"/>
    </row>
    <row r="15" spans="1:11" ht="33" customHeight="1">
      <c r="A15" s="17" t="s">
        <v>26</v>
      </c>
      <c r="B15" s="12" t="s">
        <v>42</v>
      </c>
      <c r="C15" s="13" t="s">
        <v>43</v>
      </c>
      <c r="D15" s="14" t="s">
        <v>38</v>
      </c>
      <c r="E15" s="14" t="s">
        <v>39</v>
      </c>
      <c r="F15" s="12" t="s">
        <v>44</v>
      </c>
      <c r="G15" s="15"/>
      <c r="I15" s="106" t="str">
        <f>IF(D18="READY FOR SCREENING","PROCEED WITH SCREENING","CHECK THE FAILED DEVICE ABOVE")</f>
        <v>PROCEED WITH SCREENING</v>
      </c>
      <c r="J15" s="107"/>
      <c r="K15" s="108"/>
    </row>
    <row r="16" spans="1:11" ht="33" customHeight="1">
      <c r="A16" s="16" t="s">
        <v>28</v>
      </c>
      <c r="B16" s="8" t="s">
        <v>45</v>
      </c>
      <c r="C16" s="9" t="s">
        <v>46</v>
      </c>
      <c r="D16" s="10" t="s">
        <v>38</v>
      </c>
      <c r="E16" s="10" t="s">
        <v>39</v>
      </c>
      <c r="F16" s="8" t="s">
        <v>47</v>
      </c>
      <c r="G16" s="11"/>
      <c r="I16" s="109"/>
      <c r="J16" s="110"/>
      <c r="K16" s="111"/>
    </row>
    <row r="17" spans="1:11" ht="9" customHeight="1">
      <c r="A17" s="1"/>
      <c r="B17" s="1"/>
      <c r="C17" s="1"/>
      <c r="D17" s="1"/>
      <c r="E17" s="1"/>
      <c r="F17" s="1"/>
      <c r="G17" s="1"/>
      <c r="I17" s="112"/>
      <c r="J17" s="113"/>
      <c r="K17" s="114"/>
    </row>
    <row r="18" spans="1:11" ht="44.1" customHeight="1">
      <c r="A18" s="64" t="s">
        <v>48</v>
      </c>
      <c r="B18" s="65"/>
      <c r="C18" s="66"/>
      <c r="D18" s="67" t="str">
        <f>IF(AND(B5&lt;&gt;"",D5&lt;&gt;"",F5&lt;&gt;"",B6&lt;&gt;"",D14="Reply",D15="Reply",D16="Reply",E14="Online",E15="Online",E16="Online"),"READY FOR SCREENING","NOT READY - TECHNICAL CHECK REQUIRED")</f>
        <v>READY FOR SCREENING</v>
      </c>
      <c r="E18" s="68"/>
      <c r="F18" s="68"/>
      <c r="G18" s="69"/>
    </row>
    <row r="19" spans="1:11" ht="9" customHeight="1">
      <c r="A19" s="1"/>
      <c r="B19" s="1"/>
      <c r="C19" s="1"/>
      <c r="D19" s="1"/>
      <c r="E19" s="1"/>
      <c r="F19" s="1"/>
      <c r="G19" s="1"/>
    </row>
    <row r="20" spans="1:11" ht="27.95" customHeight="1">
      <c r="A20" s="58" t="s">
        <v>49</v>
      </c>
      <c r="B20" s="59"/>
      <c r="C20" s="59"/>
      <c r="D20" s="59"/>
      <c r="E20" s="59"/>
      <c r="F20" s="59"/>
      <c r="G20" s="60"/>
    </row>
    <row r="21" spans="1:11" ht="30.95" customHeight="1">
      <c r="A21" s="70" t="s">
        <v>50</v>
      </c>
      <c r="B21" s="71"/>
      <c r="C21" s="71"/>
      <c r="D21" s="71"/>
      <c r="E21" s="71"/>
      <c r="F21" s="71"/>
      <c r="G21" s="72"/>
    </row>
    <row r="22" spans="1:11" ht="30.95" customHeight="1">
      <c r="A22" s="73"/>
      <c r="B22" s="74"/>
      <c r="C22" s="74"/>
      <c r="D22" s="74"/>
      <c r="E22" s="74"/>
      <c r="F22" s="74"/>
      <c r="G22" s="75"/>
    </row>
    <row r="23" spans="1:11" ht="9" customHeight="1">
      <c r="A23" s="1"/>
      <c r="B23" s="1"/>
      <c r="C23" s="1"/>
      <c r="D23" s="1"/>
      <c r="E23" s="1"/>
      <c r="F23" s="1"/>
      <c r="G23" s="1"/>
    </row>
    <row r="24" spans="1:11" ht="27.95" customHeight="1">
      <c r="A24" s="58" t="s">
        <v>51</v>
      </c>
      <c r="B24" s="59"/>
      <c r="C24" s="59"/>
      <c r="D24" s="59"/>
      <c r="E24" s="59"/>
      <c r="F24" s="59"/>
      <c r="G24" s="60"/>
    </row>
    <row r="25" spans="1:11" ht="21.95" customHeight="1">
      <c r="A25" s="76" t="s">
        <v>52</v>
      </c>
      <c r="B25" s="77"/>
      <c r="C25" s="77"/>
      <c r="D25" s="77"/>
      <c r="E25" s="77"/>
      <c r="F25" s="77"/>
      <c r="G25" s="78"/>
    </row>
    <row r="26" spans="1:11" ht="21.95" customHeight="1">
      <c r="A26" s="79"/>
      <c r="B26" s="80"/>
      <c r="C26" s="80"/>
      <c r="D26" s="80"/>
      <c r="E26" s="80"/>
      <c r="F26" s="80"/>
      <c r="G26" s="81"/>
    </row>
    <row r="27" spans="1:11" ht="21.95" customHeight="1">
      <c r="A27" s="79"/>
      <c r="B27" s="80"/>
      <c r="C27" s="80"/>
      <c r="D27" s="80"/>
      <c r="E27" s="80"/>
      <c r="F27" s="80"/>
      <c r="G27" s="81"/>
    </row>
    <row r="28" spans="1:11" ht="21.95" customHeight="1">
      <c r="A28" s="82"/>
      <c r="B28" s="83"/>
      <c r="C28" s="83"/>
      <c r="D28" s="83"/>
      <c r="E28" s="83"/>
      <c r="F28" s="83"/>
      <c r="G28" s="84"/>
    </row>
    <row r="29" spans="1:11">
      <c r="A29" s="18"/>
      <c r="B29" s="19"/>
      <c r="C29" s="19"/>
      <c r="D29" s="19"/>
      <c r="E29" s="19"/>
      <c r="F29" s="19"/>
      <c r="G29" s="20"/>
    </row>
    <row r="30" spans="1:11">
      <c r="A30" s="18"/>
      <c r="B30" s="19"/>
      <c r="C30" s="19"/>
      <c r="D30" s="19"/>
      <c r="E30" s="19"/>
      <c r="F30" s="19"/>
      <c r="G30" s="20"/>
    </row>
    <row r="31" spans="1:11">
      <c r="A31" s="21"/>
      <c r="B31" s="22"/>
      <c r="C31" s="22"/>
      <c r="D31" s="22"/>
      <c r="E31" s="22"/>
      <c r="F31" s="22"/>
      <c r="G31" s="23"/>
    </row>
  </sheetData>
  <mergeCells count="23">
    <mergeCell ref="A21:G22"/>
    <mergeCell ref="A24:G24"/>
    <mergeCell ref="A25:G28"/>
    <mergeCell ref="I4:K4"/>
    <mergeCell ref="I5:J5"/>
    <mergeCell ref="I6:J6"/>
    <mergeCell ref="I7:J7"/>
    <mergeCell ref="I9:K9"/>
    <mergeCell ref="J10:K10"/>
    <mergeCell ref="J11:K11"/>
    <mergeCell ref="J12:K12"/>
    <mergeCell ref="I14:K14"/>
    <mergeCell ref="I15:K17"/>
    <mergeCell ref="B10:G10"/>
    <mergeCell ref="A12:G12"/>
    <mergeCell ref="A18:C18"/>
    <mergeCell ref="D18:G18"/>
    <mergeCell ref="A20:G20"/>
    <mergeCell ref="A1:G1"/>
    <mergeCell ref="A2:G2"/>
    <mergeCell ref="A4:G4"/>
    <mergeCell ref="B6:G6"/>
    <mergeCell ref="A8:G8"/>
  </mergeCells>
  <conditionalFormatting sqref="D14:D16">
    <cfRule type="expression" dxfId="25" priority="1">
      <formula>D14="Reply"</formula>
    </cfRule>
    <cfRule type="expression" dxfId="24" priority="2">
      <formula>D14="No Reply"</formula>
    </cfRule>
    <cfRule type="expression" dxfId="23" priority="3">
      <formula>D14="Not Tested"</formula>
    </cfRule>
  </conditionalFormatting>
  <conditionalFormatting sqref="D18:G18">
    <cfRule type="expression" dxfId="22" priority="6">
      <formula>D18="READY FOR SCREENING"</formula>
    </cfRule>
    <cfRule type="expression" dxfId="21" priority="7">
      <formula>D18="NOT READY - TECHNICAL CHECK REQUIRED"</formula>
    </cfRule>
  </conditionalFormatting>
  <conditionalFormatting sqref="E14:E16">
    <cfRule type="expression" dxfId="20" priority="4">
      <formula>E14="Online"</formula>
    </cfRule>
    <cfRule type="expression" dxfId="19" priority="5">
      <formula>E14="Offline"</formula>
    </cfRule>
  </conditionalFormatting>
  <conditionalFormatting sqref="I15:K17">
    <cfRule type="expression" dxfId="18" priority="18">
      <formula>I15="PROCEED WITH SCREENING"</formula>
    </cfRule>
    <cfRule type="expression" dxfId="17" priority="19">
      <formula>I15="CHECK THE FAILED DEVICE ABOVE"</formula>
    </cfRule>
  </conditionalFormatting>
  <conditionalFormatting sqref="J10:J12">
    <cfRule type="expression" dxfId="16" priority="20">
      <formula>J10="CHECK REQUIRED"</formula>
    </cfRule>
  </conditionalFormatting>
  <conditionalFormatting sqref="J10:K12">
    <cfRule type="expression" dxfId="15" priority="9">
      <formula>J10="OK"</formula>
    </cfRule>
    <cfRule type="expression" dxfId="14" priority="10">
      <formula>J10="NETWORK ISSUE"</formula>
    </cfRule>
    <cfRule type="expression" dxfId="13" priority="11">
      <formula>J10="FUNCTION ISSUE"</formula>
    </cfRule>
  </conditionalFormatting>
  <dataValidations count="4">
    <dataValidation type="list" sqref="B5" xr:uid="{00000000-0002-0000-0000-000000000000}">
      <formula1>"Hall 1,Hall 2,Hall 3"</formula1>
    </dataValidation>
    <dataValidation type="list" sqref="B6" xr:uid="{00000000-0002-0000-0000-000001000000}">
      <formula1>"Dune: Part Two,Oppenheimer,Inside Out 2,Special Screening"</formula1>
    </dataValidation>
    <dataValidation type="list" sqref="D14:D16" xr:uid="{00000000-0002-0000-0000-000002000000}">
      <formula1>"Reply,No Reply,Not Tested"</formula1>
    </dataValidation>
    <dataValidation type="list" sqref="E14:E16" xr:uid="{00000000-0002-0000-0000-000003000000}">
      <formula1>"Online,Offline,Not Tested"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D15" sqref="D15"/>
    </sheetView>
  </sheetViews>
  <sheetFormatPr defaultRowHeight="14.25"/>
  <cols>
    <col min="1" max="2" width="15" customWidth="1"/>
    <col min="3" max="3" width="8" customWidth="1"/>
    <col min="4" max="5" width="15" customWidth="1"/>
    <col min="6" max="6" width="8" customWidth="1"/>
    <col min="7" max="8" width="18" customWidth="1"/>
  </cols>
  <sheetData>
    <row r="1" spans="1:8" ht="42" customHeight="1">
      <c r="A1" s="115" t="s">
        <v>53</v>
      </c>
      <c r="B1" s="115"/>
      <c r="C1" s="115"/>
      <c r="D1" s="115"/>
      <c r="E1" s="115"/>
      <c r="F1" s="115"/>
      <c r="G1" s="115"/>
      <c r="H1" s="115"/>
    </row>
    <row r="2" spans="1:8" ht="24" customHeight="1">
      <c r="A2" s="116" t="s">
        <v>54</v>
      </c>
      <c r="B2" s="116"/>
      <c r="C2" s="116"/>
      <c r="D2" s="116"/>
      <c r="E2" s="116"/>
      <c r="F2" s="116"/>
      <c r="G2" s="116"/>
      <c r="H2" s="116"/>
    </row>
    <row r="3" spans="1:8">
      <c r="A3" s="30"/>
      <c r="B3" s="30"/>
      <c r="C3" s="30"/>
      <c r="D3" s="30"/>
      <c r="E3" s="30"/>
      <c r="F3" s="30" t="s">
        <v>55</v>
      </c>
      <c r="G3" s="117" t="s">
        <v>56</v>
      </c>
      <c r="H3" s="118"/>
    </row>
    <row r="4" spans="1:8">
      <c r="A4" s="30"/>
      <c r="B4" s="30"/>
      <c r="C4" s="30"/>
      <c r="D4" s="30"/>
      <c r="E4" s="30"/>
      <c r="F4" s="30"/>
      <c r="G4" s="119"/>
      <c r="H4" s="120"/>
    </row>
    <row r="5" spans="1:8">
      <c r="A5" s="106" t="s">
        <v>57</v>
      </c>
      <c r="B5" s="108"/>
      <c r="C5" s="30"/>
      <c r="D5" s="106" t="s">
        <v>58</v>
      </c>
      <c r="E5" s="108"/>
      <c r="F5" s="30"/>
      <c r="G5" s="30"/>
      <c r="H5" s="30"/>
    </row>
    <row r="6" spans="1:8" ht="30">
      <c r="A6" s="109"/>
      <c r="B6" s="111"/>
      <c r="C6" s="31" t="s">
        <v>55</v>
      </c>
      <c r="D6" s="109"/>
      <c r="E6" s="111"/>
      <c r="F6" s="30" t="s">
        <v>55</v>
      </c>
      <c r="G6" s="117" t="s">
        <v>59</v>
      </c>
      <c r="H6" s="118"/>
    </row>
    <row r="7" spans="1:8">
      <c r="A7" s="112"/>
      <c r="B7" s="114"/>
      <c r="C7" s="30"/>
      <c r="D7" s="112"/>
      <c r="E7" s="114"/>
      <c r="F7" s="30"/>
      <c r="G7" s="119"/>
      <c r="H7" s="120"/>
    </row>
    <row r="8" spans="1:8">
      <c r="A8" s="30"/>
      <c r="B8" s="30"/>
      <c r="C8" s="30"/>
      <c r="D8" s="30"/>
      <c r="E8" s="30"/>
      <c r="F8" s="30"/>
      <c r="G8" s="30"/>
      <c r="H8" s="30"/>
    </row>
    <row r="9" spans="1:8">
      <c r="A9" s="30"/>
      <c r="B9" s="30"/>
      <c r="C9" s="30"/>
      <c r="D9" s="30"/>
      <c r="E9" s="30"/>
      <c r="F9" s="30" t="s">
        <v>55</v>
      </c>
      <c r="G9" s="117" t="s">
        <v>60</v>
      </c>
      <c r="H9" s="118"/>
    </row>
    <row r="10" spans="1:8">
      <c r="A10" s="30"/>
      <c r="B10" s="30"/>
      <c r="C10" s="30"/>
      <c r="D10" s="30"/>
      <c r="E10" s="30"/>
      <c r="F10" s="30"/>
      <c r="G10" s="119"/>
      <c r="H10" s="120"/>
    </row>
    <row r="11" spans="1:8">
      <c r="A11" s="30"/>
      <c r="B11" s="30"/>
      <c r="C11" s="30"/>
      <c r="D11" s="30"/>
      <c r="E11" s="30"/>
      <c r="F11" s="30"/>
      <c r="G11" s="30"/>
      <c r="H11" s="30"/>
    </row>
    <row r="12" spans="1:8" ht="15">
      <c r="A12" s="86" t="s">
        <v>61</v>
      </c>
      <c r="B12" s="86"/>
      <c r="C12" s="86"/>
      <c r="D12" s="86"/>
      <c r="E12" s="86"/>
      <c r="F12" s="86"/>
      <c r="G12" s="86"/>
      <c r="H12" s="86"/>
    </row>
    <row r="13" spans="1:8" ht="25.5" customHeight="1">
      <c r="A13" s="32" t="s">
        <v>16</v>
      </c>
      <c r="B13" s="33" t="s">
        <v>17</v>
      </c>
      <c r="C13" s="188" t="s">
        <v>18</v>
      </c>
      <c r="D13" s="33" t="s">
        <v>19</v>
      </c>
      <c r="E13" s="32" t="s">
        <v>20</v>
      </c>
      <c r="F13" s="189" t="s">
        <v>21</v>
      </c>
      <c r="G13" s="34"/>
      <c r="H13" s="35"/>
    </row>
    <row r="14" spans="1:8">
      <c r="A14" s="32" t="s">
        <v>30</v>
      </c>
      <c r="B14" s="121" t="s">
        <v>62</v>
      </c>
      <c r="C14" s="122"/>
      <c r="D14" s="122"/>
      <c r="E14" s="122"/>
      <c r="F14" s="122"/>
      <c r="G14" s="122"/>
      <c r="H14" s="123"/>
    </row>
    <row r="15" spans="1:8">
      <c r="A15" s="30"/>
      <c r="B15" s="30"/>
      <c r="C15" s="30"/>
      <c r="D15" s="30"/>
      <c r="E15" s="30"/>
      <c r="F15" s="30"/>
      <c r="G15" s="30"/>
      <c r="H15" s="30"/>
    </row>
  </sheetData>
  <mergeCells count="9">
    <mergeCell ref="G9:H10"/>
    <mergeCell ref="A12:H12"/>
    <mergeCell ref="B14:H14"/>
    <mergeCell ref="A1:H1"/>
    <mergeCell ref="A2:H2"/>
    <mergeCell ref="A5:B7"/>
    <mergeCell ref="D5:E7"/>
    <mergeCell ref="G3:H4"/>
    <mergeCell ref="G6: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
  <sheetViews>
    <sheetView workbookViewId="0">
      <selection activeCell="F11" sqref="F11"/>
    </sheetView>
  </sheetViews>
  <sheetFormatPr defaultRowHeight="14.25"/>
  <cols>
    <col min="1" max="1" width="14" customWidth="1"/>
    <col min="2" max="2" width="13" customWidth="1"/>
    <col min="3" max="3" width="11" customWidth="1"/>
    <col min="4" max="4" width="18" customWidth="1"/>
    <col min="5" max="5" width="34" customWidth="1"/>
    <col min="6" max="6" width="13" customWidth="1"/>
    <col min="7" max="7" width="15" customWidth="1"/>
    <col min="8" max="8" width="38" customWidth="1"/>
  </cols>
  <sheetData>
    <row r="1" spans="1:8" ht="30" customHeight="1">
      <c r="A1" s="124" t="s">
        <v>63</v>
      </c>
      <c r="B1" s="124"/>
      <c r="C1" s="124"/>
      <c r="D1" s="124"/>
      <c r="E1" s="124"/>
      <c r="F1" s="124"/>
      <c r="G1" s="124"/>
      <c r="H1" s="124"/>
    </row>
    <row r="2" spans="1:8" ht="30" customHeight="1">
      <c r="A2" s="125"/>
      <c r="B2" s="125"/>
      <c r="C2" s="125"/>
      <c r="D2" s="125"/>
      <c r="E2" s="125"/>
      <c r="F2" s="125"/>
      <c r="G2" s="125"/>
      <c r="H2" s="125"/>
    </row>
    <row r="3" spans="1:8" ht="21.95" customHeight="1">
      <c r="A3" s="126" t="s">
        <v>64</v>
      </c>
      <c r="B3" s="126"/>
      <c r="C3" s="126"/>
      <c r="D3" s="126"/>
      <c r="E3" s="126"/>
      <c r="F3" s="126"/>
      <c r="G3" s="126"/>
      <c r="H3" s="126"/>
    </row>
    <row r="4" spans="1:8" ht="15">
      <c r="A4" s="36"/>
      <c r="B4" s="36"/>
      <c r="C4" s="36"/>
      <c r="D4" s="36"/>
      <c r="E4" s="36"/>
      <c r="F4" s="36"/>
      <c r="G4" s="36"/>
      <c r="H4" s="36"/>
    </row>
    <row r="5" spans="1:8">
      <c r="A5" s="127" t="s">
        <v>65</v>
      </c>
      <c r="B5" s="128"/>
      <c r="C5" s="129" t="s">
        <v>66</v>
      </c>
      <c r="D5" s="130"/>
      <c r="E5" s="129" t="s">
        <v>67</v>
      </c>
      <c r="F5" s="130"/>
      <c r="G5" s="129" t="s">
        <v>68</v>
      </c>
      <c r="H5" s="130"/>
    </row>
    <row r="6" spans="1:8">
      <c r="A6" s="131">
        <f>COUNTA(A11:A30)</f>
        <v>3</v>
      </c>
      <c r="B6" s="132"/>
      <c r="C6" s="135">
        <f>COUNTIF(G11:G30,"Open")</f>
        <v>1</v>
      </c>
      <c r="D6" s="136"/>
      <c r="E6" s="139">
        <f>COUNTIF(G11:G30,"In Progress")</f>
        <v>1</v>
      </c>
      <c r="F6" s="140"/>
      <c r="G6" s="143">
        <f>COUNTIF(G11:G30,"Resolved")</f>
        <v>1</v>
      </c>
      <c r="H6" s="144"/>
    </row>
    <row r="7" spans="1:8">
      <c r="A7" s="133"/>
      <c r="B7" s="134"/>
      <c r="C7" s="137"/>
      <c r="D7" s="138"/>
      <c r="E7" s="141"/>
      <c r="F7" s="142"/>
      <c r="G7" s="145"/>
      <c r="H7" s="146"/>
    </row>
    <row r="8" spans="1:8" ht="15">
      <c r="A8" s="36"/>
      <c r="B8" s="36"/>
      <c r="C8" s="36"/>
      <c r="D8" s="36"/>
      <c r="E8" s="36"/>
      <c r="F8" s="36"/>
      <c r="G8" s="36"/>
      <c r="H8" s="36"/>
    </row>
    <row r="9" spans="1:8" ht="24" customHeight="1">
      <c r="A9" s="147" t="s">
        <v>69</v>
      </c>
      <c r="B9" s="147"/>
      <c r="C9" s="147"/>
      <c r="D9" s="147"/>
      <c r="E9" s="147"/>
      <c r="F9" s="147"/>
      <c r="G9" s="147"/>
      <c r="H9" s="147"/>
    </row>
    <row r="10" spans="1:8" ht="30" customHeight="1">
      <c r="A10" s="37" t="s">
        <v>70</v>
      </c>
      <c r="B10" s="38" t="s">
        <v>6</v>
      </c>
      <c r="C10" s="38" t="s">
        <v>4</v>
      </c>
      <c r="D10" s="38" t="s">
        <v>71</v>
      </c>
      <c r="E10" s="38" t="s">
        <v>72</v>
      </c>
      <c r="F10" s="38" t="s">
        <v>73</v>
      </c>
      <c r="G10" s="38" t="s">
        <v>74</v>
      </c>
      <c r="H10" s="39" t="s">
        <v>75</v>
      </c>
    </row>
    <row r="11" spans="1:8" ht="38.1" customHeight="1">
      <c r="A11" s="46" t="s">
        <v>76</v>
      </c>
      <c r="B11" s="52">
        <v>46232</v>
      </c>
      <c r="C11" s="47" t="s">
        <v>5</v>
      </c>
      <c r="D11" s="47" t="s">
        <v>25</v>
      </c>
      <c r="E11" s="40" t="s">
        <v>77</v>
      </c>
      <c r="F11" s="47" t="s">
        <v>78</v>
      </c>
      <c r="G11" s="47" t="s">
        <v>79</v>
      </c>
      <c r="H11" s="41" t="s">
        <v>80</v>
      </c>
    </row>
    <row r="12" spans="1:8" ht="38.1" customHeight="1">
      <c r="A12" s="48" t="s">
        <v>81</v>
      </c>
      <c r="B12" s="53">
        <v>46232</v>
      </c>
      <c r="C12" s="49" t="s">
        <v>82</v>
      </c>
      <c r="D12" s="49" t="s">
        <v>26</v>
      </c>
      <c r="E12" s="42" t="s">
        <v>83</v>
      </c>
      <c r="F12" s="49" t="s">
        <v>84</v>
      </c>
      <c r="G12" s="49" t="s">
        <v>85</v>
      </c>
      <c r="H12" s="43" t="s">
        <v>86</v>
      </c>
    </row>
    <row r="13" spans="1:8" ht="38.1" customHeight="1">
      <c r="A13" s="48" t="s">
        <v>87</v>
      </c>
      <c r="B13" s="53">
        <v>46232</v>
      </c>
      <c r="C13" s="49" t="s">
        <v>88</v>
      </c>
      <c r="D13" s="49" t="s">
        <v>28</v>
      </c>
      <c r="E13" s="42" t="s">
        <v>89</v>
      </c>
      <c r="F13" s="49" t="s">
        <v>90</v>
      </c>
      <c r="G13" s="49" t="s">
        <v>91</v>
      </c>
      <c r="H13" s="43" t="s">
        <v>92</v>
      </c>
    </row>
    <row r="14" spans="1:8" ht="38.1" customHeight="1">
      <c r="A14" s="48"/>
      <c r="B14" s="53"/>
      <c r="C14" s="49"/>
      <c r="D14" s="49"/>
      <c r="E14" s="42"/>
      <c r="F14" s="49"/>
      <c r="G14" s="49"/>
      <c r="H14" s="43"/>
    </row>
    <row r="15" spans="1:8" ht="38.1" customHeight="1">
      <c r="A15" s="48"/>
      <c r="B15" s="53"/>
      <c r="C15" s="49"/>
      <c r="D15" s="49"/>
      <c r="E15" s="42"/>
      <c r="F15" s="49"/>
      <c r="G15" s="49"/>
      <c r="H15" s="43"/>
    </row>
    <row r="16" spans="1:8" ht="38.1" customHeight="1">
      <c r="A16" s="48"/>
      <c r="B16" s="53"/>
      <c r="C16" s="49"/>
      <c r="D16" s="49"/>
      <c r="E16" s="42"/>
      <c r="F16" s="49"/>
      <c r="G16" s="49"/>
      <c r="H16" s="43"/>
    </row>
    <row r="17" spans="1:8" ht="38.1" customHeight="1">
      <c r="A17" s="48"/>
      <c r="B17" s="53"/>
      <c r="C17" s="49"/>
      <c r="D17" s="49"/>
      <c r="E17" s="42"/>
      <c r="F17" s="49"/>
      <c r="G17" s="49"/>
      <c r="H17" s="43"/>
    </row>
    <row r="18" spans="1:8" ht="38.1" customHeight="1">
      <c r="A18" s="48"/>
      <c r="B18" s="53"/>
      <c r="C18" s="49"/>
      <c r="D18" s="49"/>
      <c r="E18" s="42"/>
      <c r="F18" s="49"/>
      <c r="G18" s="49"/>
      <c r="H18" s="43"/>
    </row>
    <row r="19" spans="1:8" ht="38.1" customHeight="1">
      <c r="A19" s="48"/>
      <c r="B19" s="53"/>
      <c r="C19" s="49"/>
      <c r="D19" s="49"/>
      <c r="E19" s="42"/>
      <c r="F19" s="49"/>
      <c r="G19" s="49"/>
      <c r="H19" s="43"/>
    </row>
    <row r="20" spans="1:8" ht="38.1" customHeight="1">
      <c r="A20" s="48"/>
      <c r="B20" s="53"/>
      <c r="C20" s="49"/>
      <c r="D20" s="49"/>
      <c r="E20" s="42"/>
      <c r="F20" s="49"/>
      <c r="G20" s="49"/>
      <c r="H20" s="43"/>
    </row>
    <row r="21" spans="1:8" ht="38.1" customHeight="1">
      <c r="A21" s="48"/>
      <c r="B21" s="53"/>
      <c r="C21" s="49"/>
      <c r="D21" s="49"/>
      <c r="E21" s="42"/>
      <c r="F21" s="49"/>
      <c r="G21" s="49"/>
      <c r="H21" s="43"/>
    </row>
    <row r="22" spans="1:8" ht="38.1" customHeight="1">
      <c r="A22" s="48"/>
      <c r="B22" s="53"/>
      <c r="C22" s="49"/>
      <c r="D22" s="49"/>
      <c r="E22" s="42"/>
      <c r="F22" s="49"/>
      <c r="G22" s="49"/>
      <c r="H22" s="43"/>
    </row>
    <row r="23" spans="1:8" ht="38.1" customHeight="1">
      <c r="A23" s="48"/>
      <c r="B23" s="53"/>
      <c r="C23" s="49"/>
      <c r="D23" s="49"/>
      <c r="E23" s="42"/>
      <c r="F23" s="49"/>
      <c r="G23" s="49"/>
      <c r="H23" s="43"/>
    </row>
    <row r="24" spans="1:8" ht="38.1" customHeight="1">
      <c r="A24" s="48"/>
      <c r="B24" s="53"/>
      <c r="C24" s="49"/>
      <c r="D24" s="49"/>
      <c r="E24" s="42"/>
      <c r="F24" s="49"/>
      <c r="G24" s="49"/>
      <c r="H24" s="43"/>
    </row>
    <row r="25" spans="1:8" ht="38.1" customHeight="1">
      <c r="A25" s="48"/>
      <c r="B25" s="53"/>
      <c r="C25" s="49"/>
      <c r="D25" s="49"/>
      <c r="E25" s="42"/>
      <c r="F25" s="49"/>
      <c r="G25" s="49"/>
      <c r="H25" s="43"/>
    </row>
    <row r="26" spans="1:8" ht="38.1" customHeight="1">
      <c r="A26" s="48"/>
      <c r="B26" s="53"/>
      <c r="C26" s="49"/>
      <c r="D26" s="49"/>
      <c r="E26" s="42"/>
      <c r="F26" s="49"/>
      <c r="G26" s="49"/>
      <c r="H26" s="43"/>
    </row>
    <row r="27" spans="1:8" ht="38.1" customHeight="1">
      <c r="A27" s="48"/>
      <c r="B27" s="53"/>
      <c r="C27" s="49"/>
      <c r="D27" s="49"/>
      <c r="E27" s="42"/>
      <c r="F27" s="49"/>
      <c r="G27" s="49"/>
      <c r="H27" s="43"/>
    </row>
    <row r="28" spans="1:8" ht="38.1" customHeight="1">
      <c r="A28" s="48"/>
      <c r="B28" s="53"/>
      <c r="C28" s="49"/>
      <c r="D28" s="49"/>
      <c r="E28" s="42"/>
      <c r="F28" s="49"/>
      <c r="G28" s="49"/>
      <c r="H28" s="43"/>
    </row>
    <row r="29" spans="1:8" ht="38.1" customHeight="1">
      <c r="A29" s="48"/>
      <c r="B29" s="53"/>
      <c r="C29" s="49"/>
      <c r="D29" s="49"/>
      <c r="E29" s="42"/>
      <c r="F29" s="49"/>
      <c r="G29" s="49"/>
      <c r="H29" s="43"/>
    </row>
    <row r="30" spans="1:8" ht="38.1" customHeight="1">
      <c r="A30" s="50"/>
      <c r="B30" s="54"/>
      <c r="C30" s="51"/>
      <c r="D30" s="51"/>
      <c r="E30" s="44"/>
      <c r="F30" s="51"/>
      <c r="G30" s="51"/>
      <c r="H30" s="45"/>
    </row>
    <row r="31" spans="1:8" ht="15">
      <c r="A31" s="36"/>
      <c r="B31" s="36"/>
      <c r="C31" s="36"/>
      <c r="D31" s="36"/>
      <c r="E31" s="36"/>
      <c r="F31" s="36"/>
      <c r="G31" s="36"/>
      <c r="H31" s="36"/>
    </row>
    <row r="32" spans="1:8" ht="15">
      <c r="A32" s="148" t="s">
        <v>93</v>
      </c>
      <c r="B32" s="148"/>
      <c r="C32" s="148"/>
      <c r="D32" s="148"/>
      <c r="E32" s="148"/>
      <c r="F32" s="148"/>
      <c r="G32" s="148"/>
      <c r="H32" s="148"/>
    </row>
    <row r="33" spans="1:8">
      <c r="A33" s="149" t="s">
        <v>94</v>
      </c>
      <c r="B33" s="150"/>
      <c r="C33" s="150"/>
      <c r="D33" s="150"/>
      <c r="E33" s="150"/>
      <c r="F33" s="150"/>
      <c r="G33" s="150"/>
      <c r="H33" s="151"/>
    </row>
    <row r="34" spans="1:8">
      <c r="A34" s="149"/>
      <c r="B34" s="150"/>
      <c r="C34" s="150"/>
      <c r="D34" s="150"/>
      <c r="E34" s="150"/>
      <c r="F34" s="150"/>
      <c r="G34" s="150"/>
      <c r="H34" s="151"/>
    </row>
    <row r="35" spans="1:8">
      <c r="A35" s="152"/>
      <c r="B35" s="153"/>
      <c r="C35" s="153"/>
      <c r="D35" s="153"/>
      <c r="E35" s="153"/>
      <c r="F35" s="153"/>
      <c r="G35" s="153"/>
      <c r="H35" s="154"/>
    </row>
  </sheetData>
  <mergeCells count="13">
    <mergeCell ref="A32:H32"/>
    <mergeCell ref="A33:H35"/>
    <mergeCell ref="A6:B7"/>
    <mergeCell ref="C6:D7"/>
    <mergeCell ref="E6:F7"/>
    <mergeCell ref="G6:H7"/>
    <mergeCell ref="A9:H9"/>
    <mergeCell ref="A1:H2"/>
    <mergeCell ref="A3:H3"/>
    <mergeCell ref="A5:B5"/>
    <mergeCell ref="C5:D5"/>
    <mergeCell ref="E5:F5"/>
    <mergeCell ref="G5:H5"/>
  </mergeCells>
  <conditionalFormatting sqref="F11:F30">
    <cfRule type="expression" dxfId="32" priority="1">
      <formula>F11="Critical"</formula>
    </cfRule>
    <cfRule type="expression" dxfId="31" priority="2">
      <formula>F11="High"</formula>
    </cfRule>
    <cfRule type="expression" dxfId="30" priority="3">
      <formula>F11="Medium"</formula>
    </cfRule>
    <cfRule type="expression" dxfId="29" priority="4">
      <formula>F11="Low"</formula>
    </cfRule>
  </conditionalFormatting>
  <conditionalFormatting sqref="G11:G30">
    <cfRule type="expression" dxfId="28" priority="5">
      <formula>G11="Open"</formula>
    </cfRule>
    <cfRule type="expression" dxfId="27" priority="6">
      <formula>G11="In Progress"</formula>
    </cfRule>
    <cfRule type="expression" dxfId="26" priority="7">
      <formula>G11="Resolved"</formula>
    </cfRule>
  </conditionalFormatting>
  <dataValidations count="4">
    <dataValidation type="list" sqref="C11:C30" xr:uid="{00000000-0002-0000-0200-000000000000}">
      <formula1>"Hall 1,Hall 2,Hall 3,Hall 4"</formula1>
    </dataValidation>
    <dataValidation type="list" sqref="D11:D30" xr:uid="{00000000-0002-0000-0200-000001000000}">
      <formula1>"Projector,Sound System,CCTV Camera"</formula1>
    </dataValidation>
    <dataValidation type="list" sqref="F11:F30" xr:uid="{00000000-0002-0000-0200-000002000000}">
      <formula1>"Low,Medium,High,Critical"</formula1>
    </dataValidation>
    <dataValidation type="list" sqref="G11:G30" xr:uid="{00000000-0002-0000-0200-000003000000}">
      <formula1>"Open,In Progress,Resolved"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5"/>
  <sheetViews>
    <sheetView tabSelected="1" topLeftCell="A23" workbookViewId="0">
      <selection activeCell="A41" sqref="A41:H44"/>
    </sheetView>
  </sheetViews>
  <sheetFormatPr defaultRowHeight="14.25"/>
  <cols>
    <col min="1" max="1" width="17" customWidth="1"/>
    <col min="2" max="7" width="15" customWidth="1"/>
    <col min="8" max="8" width="18" customWidth="1"/>
  </cols>
  <sheetData>
    <row r="1" spans="1:8" ht="30" customHeight="1">
      <c r="A1" s="124" t="s">
        <v>95</v>
      </c>
      <c r="B1" s="124"/>
      <c r="C1" s="124"/>
      <c r="D1" s="124"/>
      <c r="E1" s="124"/>
      <c r="F1" s="124"/>
      <c r="G1" s="124"/>
      <c r="H1" s="124"/>
    </row>
    <row r="2" spans="1:8" ht="30" customHeight="1">
      <c r="A2" s="125"/>
      <c r="B2" s="125"/>
      <c r="C2" s="125"/>
      <c r="D2" s="125"/>
      <c r="E2" s="125"/>
      <c r="F2" s="125"/>
      <c r="G2" s="125"/>
      <c r="H2" s="125"/>
    </row>
    <row r="3" spans="1:8" ht="21.95" customHeight="1">
      <c r="A3" s="126" t="s">
        <v>96</v>
      </c>
      <c r="B3" s="126"/>
      <c r="C3" s="126"/>
      <c r="D3" s="126"/>
      <c r="E3" s="126"/>
      <c r="F3" s="126"/>
      <c r="G3" s="126"/>
      <c r="H3" s="126"/>
    </row>
    <row r="4" spans="1:8" ht="21.95" customHeight="1">
      <c r="A4" s="36"/>
      <c r="B4" s="36"/>
      <c r="C4" s="36"/>
      <c r="D4" s="36"/>
      <c r="E4" s="36"/>
      <c r="F4" s="36"/>
      <c r="G4" s="36"/>
      <c r="H4" s="36"/>
    </row>
    <row r="5" spans="1:8" ht="21.95" customHeight="1">
      <c r="A5" s="147" t="s">
        <v>97</v>
      </c>
      <c r="B5" s="147"/>
      <c r="C5" s="147"/>
      <c r="D5" s="147"/>
      <c r="E5" s="147"/>
      <c r="F5" s="147"/>
      <c r="G5" s="147"/>
      <c r="H5" s="147"/>
    </row>
    <row r="6" spans="1:8" ht="21.95" customHeight="1">
      <c r="A6" s="155" t="s">
        <v>98</v>
      </c>
      <c r="B6" s="156"/>
      <c r="C6" s="157" t="s">
        <v>0</v>
      </c>
      <c r="D6" s="158"/>
      <c r="E6" s="158"/>
      <c r="F6" s="158"/>
      <c r="G6" s="158"/>
      <c r="H6" s="159"/>
    </row>
    <row r="7" spans="1:8" ht="21.95" customHeight="1">
      <c r="A7" s="155" t="s">
        <v>99</v>
      </c>
      <c r="B7" s="156"/>
      <c r="C7" s="157" t="s">
        <v>100</v>
      </c>
      <c r="D7" s="158"/>
      <c r="E7" s="158"/>
      <c r="F7" s="158"/>
      <c r="G7" s="158"/>
      <c r="H7" s="159"/>
    </row>
    <row r="8" spans="1:8" ht="26.25" customHeight="1">
      <c r="A8" s="155" t="s">
        <v>30</v>
      </c>
      <c r="B8" s="156"/>
      <c r="C8" s="157" t="s">
        <v>101</v>
      </c>
      <c r="D8" s="158"/>
      <c r="E8" s="158"/>
      <c r="F8" s="158"/>
      <c r="G8" s="158"/>
      <c r="H8" s="159"/>
    </row>
    <row r="9" spans="1:8" ht="21.95" customHeight="1">
      <c r="A9" s="36"/>
      <c r="B9" s="36"/>
      <c r="C9" s="36"/>
      <c r="D9" s="36"/>
      <c r="E9" s="36"/>
      <c r="F9" s="36"/>
      <c r="G9" s="36"/>
      <c r="H9" s="36"/>
    </row>
    <row r="10" spans="1:8" ht="21.95" customHeight="1">
      <c r="A10" s="147" t="s">
        <v>102</v>
      </c>
      <c r="B10" s="147"/>
      <c r="C10" s="147"/>
      <c r="D10" s="147"/>
      <c r="E10" s="147"/>
      <c r="F10" s="147"/>
      <c r="G10" s="147"/>
      <c r="H10" s="147"/>
    </row>
    <row r="11" spans="1:8" ht="21.95" customHeight="1">
      <c r="A11" s="160" t="s">
        <v>103</v>
      </c>
      <c r="B11" s="160"/>
      <c r="C11" s="160"/>
      <c r="D11" s="160"/>
      <c r="E11" s="160"/>
      <c r="F11" s="160"/>
      <c r="G11" s="160"/>
      <c r="H11" s="160"/>
    </row>
    <row r="12" spans="1:8" ht="21.95" customHeight="1">
      <c r="A12" s="161" t="s">
        <v>104</v>
      </c>
      <c r="B12" s="161"/>
      <c r="C12" s="161"/>
      <c r="D12" s="161"/>
      <c r="E12" s="161"/>
      <c r="F12" s="161"/>
      <c r="G12" s="161"/>
      <c r="H12" s="161"/>
    </row>
    <row r="13" spans="1:8" ht="21.95" customHeight="1">
      <c r="A13" s="160" t="s">
        <v>105</v>
      </c>
      <c r="B13" s="160"/>
      <c r="C13" s="160"/>
      <c r="D13" s="160"/>
      <c r="E13" s="160"/>
      <c r="F13" s="160"/>
      <c r="G13" s="160"/>
      <c r="H13" s="160"/>
    </row>
    <row r="14" spans="1:8" ht="21.95" customHeight="1">
      <c r="A14" s="161" t="s">
        <v>106</v>
      </c>
      <c r="B14" s="161"/>
      <c r="C14" s="161"/>
      <c r="D14" s="161"/>
      <c r="E14" s="161"/>
      <c r="F14" s="161"/>
      <c r="G14" s="161"/>
      <c r="H14" s="161"/>
    </row>
    <row r="15" spans="1:8" ht="21.95" customHeight="1">
      <c r="A15" s="160" t="s">
        <v>107</v>
      </c>
      <c r="B15" s="160"/>
      <c r="C15" s="160"/>
      <c r="D15" s="160"/>
      <c r="E15" s="160"/>
      <c r="F15" s="160"/>
      <c r="G15" s="160"/>
      <c r="H15" s="160"/>
    </row>
    <row r="16" spans="1:8" ht="21.95" customHeight="1">
      <c r="A16" s="161" t="s">
        <v>108</v>
      </c>
      <c r="B16" s="161"/>
      <c r="C16" s="161"/>
      <c r="D16" s="161"/>
      <c r="E16" s="161"/>
      <c r="F16" s="161"/>
      <c r="G16" s="161"/>
      <c r="H16" s="161"/>
    </row>
    <row r="17" spans="1:8" ht="21.95" customHeight="1">
      <c r="A17" s="36"/>
      <c r="B17" s="36"/>
      <c r="C17" s="36"/>
      <c r="D17" s="36"/>
      <c r="E17" s="36"/>
      <c r="F17" s="36"/>
      <c r="G17" s="36"/>
      <c r="H17" s="36"/>
    </row>
    <row r="18" spans="1:8" ht="21.95" customHeight="1">
      <c r="A18" s="147" t="s">
        <v>109</v>
      </c>
      <c r="B18" s="147"/>
      <c r="C18" s="147"/>
      <c r="D18" s="147"/>
      <c r="E18" s="147"/>
      <c r="F18" s="147"/>
      <c r="G18" s="147"/>
      <c r="H18" s="147"/>
    </row>
    <row r="19" spans="1:8" ht="21.95" customHeight="1">
      <c r="A19" s="162" t="s">
        <v>110</v>
      </c>
      <c r="B19" s="163"/>
      <c r="C19" s="36"/>
      <c r="D19" s="162" t="s">
        <v>111</v>
      </c>
      <c r="E19" s="163"/>
      <c r="F19" s="36"/>
      <c r="G19" s="162" t="s">
        <v>112</v>
      </c>
      <c r="H19" s="163"/>
    </row>
    <row r="20" spans="1:8" ht="21.95" customHeight="1">
      <c r="A20" s="164"/>
      <c r="B20" s="165"/>
      <c r="C20" s="55" t="s">
        <v>55</v>
      </c>
      <c r="D20" s="164"/>
      <c r="E20" s="165"/>
      <c r="F20" s="55" t="s">
        <v>55</v>
      </c>
      <c r="G20" s="164"/>
      <c r="H20" s="165"/>
    </row>
    <row r="21" spans="1:8" ht="21.95" customHeight="1">
      <c r="A21" s="166"/>
      <c r="B21" s="167"/>
      <c r="C21" s="36"/>
      <c r="D21" s="166"/>
      <c r="E21" s="167"/>
      <c r="F21" s="36"/>
      <c r="G21" s="166"/>
      <c r="H21" s="167"/>
    </row>
    <row r="22" spans="1:8" ht="21.95" customHeight="1">
      <c r="A22" s="36"/>
      <c r="B22" s="36"/>
      <c r="C22" s="36"/>
      <c r="D22" s="168" t="s">
        <v>113</v>
      </c>
      <c r="E22" s="168"/>
      <c r="F22" s="36"/>
      <c r="G22" s="36"/>
      <c r="H22" s="36"/>
    </row>
    <row r="23" spans="1:8" ht="21.95" customHeight="1">
      <c r="A23" s="162" t="s">
        <v>114</v>
      </c>
      <c r="B23" s="163"/>
      <c r="C23" s="36"/>
      <c r="D23" s="162" t="s">
        <v>115</v>
      </c>
      <c r="E23" s="163"/>
      <c r="F23" s="36"/>
      <c r="G23" s="162" t="s">
        <v>116</v>
      </c>
      <c r="H23" s="163"/>
    </row>
    <row r="24" spans="1:8" ht="21.95" customHeight="1">
      <c r="A24" s="164"/>
      <c r="B24" s="165"/>
      <c r="C24" s="55" t="s">
        <v>55</v>
      </c>
      <c r="D24" s="164"/>
      <c r="E24" s="165"/>
      <c r="F24" s="55" t="s">
        <v>55</v>
      </c>
      <c r="G24" s="164"/>
      <c r="H24" s="165"/>
    </row>
    <row r="25" spans="1:8" ht="21.95" customHeight="1">
      <c r="A25" s="166"/>
      <c r="B25" s="167"/>
      <c r="C25" s="36"/>
      <c r="D25" s="166"/>
      <c r="E25" s="167"/>
      <c r="F25" s="36"/>
      <c r="G25" s="166"/>
      <c r="H25" s="167"/>
    </row>
    <row r="26" spans="1:8" ht="21.95" customHeight="1">
      <c r="A26" s="36"/>
      <c r="B26" s="36"/>
      <c r="C26" s="36"/>
      <c r="D26" s="36"/>
      <c r="E26" s="36"/>
      <c r="F26" s="36"/>
      <c r="G26" s="36"/>
      <c r="H26" s="36"/>
    </row>
    <row r="27" spans="1:8" ht="21.95" customHeight="1">
      <c r="A27" s="147" t="s">
        <v>117</v>
      </c>
      <c r="B27" s="147"/>
      <c r="C27" s="147"/>
      <c r="D27" s="147"/>
      <c r="E27" s="147"/>
      <c r="F27" s="147"/>
      <c r="G27" s="147"/>
      <c r="H27" s="147"/>
    </row>
    <row r="28" spans="1:8" ht="21.95" customHeight="1">
      <c r="A28" s="155" t="s">
        <v>118</v>
      </c>
      <c r="B28" s="169"/>
      <c r="C28" s="156"/>
      <c r="D28" s="170" t="s">
        <v>119</v>
      </c>
      <c r="E28" s="171"/>
      <c r="F28" s="171"/>
      <c r="G28" s="171"/>
      <c r="H28" s="172"/>
    </row>
    <row r="29" spans="1:8" ht="21.95" customHeight="1">
      <c r="A29" s="155" t="s">
        <v>120</v>
      </c>
      <c r="B29" s="169"/>
      <c r="C29" s="156"/>
      <c r="D29" s="157" t="s">
        <v>121</v>
      </c>
      <c r="E29" s="158"/>
      <c r="F29" s="158"/>
      <c r="G29" s="158"/>
      <c r="H29" s="159"/>
    </row>
    <row r="30" spans="1:8" ht="21.95" customHeight="1">
      <c r="A30" s="155" t="s">
        <v>122</v>
      </c>
      <c r="B30" s="169"/>
      <c r="C30" s="156"/>
      <c r="D30" s="170" t="s">
        <v>123</v>
      </c>
      <c r="E30" s="171"/>
      <c r="F30" s="171"/>
      <c r="G30" s="171"/>
      <c r="H30" s="172"/>
    </row>
    <row r="31" spans="1:8" ht="21.95" customHeight="1">
      <c r="A31" s="155" t="s">
        <v>124</v>
      </c>
      <c r="B31" s="169"/>
      <c r="C31" s="156"/>
      <c r="D31" s="157" t="s">
        <v>125</v>
      </c>
      <c r="E31" s="158"/>
      <c r="F31" s="158"/>
      <c r="G31" s="158"/>
      <c r="H31" s="159"/>
    </row>
    <row r="32" spans="1:8" ht="21.95" customHeight="1">
      <c r="A32" s="155" t="s">
        <v>126</v>
      </c>
      <c r="B32" s="169"/>
      <c r="C32" s="156"/>
      <c r="D32" s="170" t="s">
        <v>127</v>
      </c>
      <c r="E32" s="171"/>
      <c r="F32" s="171"/>
      <c r="G32" s="171"/>
      <c r="H32" s="172"/>
    </row>
    <row r="33" spans="1:8" ht="21.95" customHeight="1">
      <c r="A33" s="36"/>
      <c r="B33" s="36"/>
      <c r="C33" s="36"/>
      <c r="D33" s="36"/>
      <c r="E33" s="36"/>
      <c r="F33" s="36"/>
      <c r="G33" s="36"/>
      <c r="H33" s="36"/>
    </row>
    <row r="34" spans="1:8" ht="21.95" customHeight="1">
      <c r="A34" s="147" t="s">
        <v>128</v>
      </c>
      <c r="B34" s="147"/>
      <c r="C34" s="147"/>
      <c r="D34" s="147"/>
      <c r="E34" s="147"/>
      <c r="F34" s="147"/>
      <c r="G34" s="147"/>
      <c r="H34" s="147"/>
    </row>
    <row r="35" spans="1:8" ht="24" customHeight="1">
      <c r="A35" s="173" t="s">
        <v>129</v>
      </c>
      <c r="B35" s="174"/>
      <c r="C35" s="174"/>
      <c r="D35" s="174"/>
      <c r="E35" s="174"/>
      <c r="F35" s="174"/>
      <c r="G35" s="174"/>
      <c r="H35" s="175"/>
    </row>
    <row r="36" spans="1:8" ht="24" customHeight="1">
      <c r="A36" s="173"/>
      <c r="B36" s="174"/>
      <c r="C36" s="174"/>
      <c r="D36" s="174"/>
      <c r="E36" s="174"/>
      <c r="F36" s="174"/>
      <c r="G36" s="174"/>
      <c r="H36" s="175"/>
    </row>
    <row r="37" spans="1:8" ht="24" customHeight="1">
      <c r="A37" s="173"/>
      <c r="B37" s="174"/>
      <c r="C37" s="174"/>
      <c r="D37" s="174"/>
      <c r="E37" s="174"/>
      <c r="F37" s="174"/>
      <c r="G37" s="174"/>
      <c r="H37" s="175"/>
    </row>
    <row r="38" spans="1:8" ht="24" customHeight="1">
      <c r="A38" s="176"/>
      <c r="B38" s="177"/>
      <c r="C38" s="177"/>
      <c r="D38" s="177"/>
      <c r="E38" s="177"/>
      <c r="F38" s="177"/>
      <c r="G38" s="177"/>
      <c r="H38" s="178"/>
    </row>
    <row r="39" spans="1:8" ht="21.95" customHeight="1">
      <c r="A39" s="36"/>
      <c r="B39" s="36"/>
      <c r="C39" s="36"/>
      <c r="D39" s="36"/>
      <c r="E39" s="36"/>
      <c r="F39" s="36"/>
      <c r="G39" s="36"/>
      <c r="H39" s="36"/>
    </row>
    <row r="40" spans="1:8" ht="21.95" customHeight="1">
      <c r="A40" s="147" t="s">
        <v>130</v>
      </c>
      <c r="B40" s="147"/>
      <c r="C40" s="147"/>
      <c r="D40" s="147"/>
      <c r="E40" s="147"/>
      <c r="F40" s="147"/>
      <c r="G40" s="147"/>
      <c r="H40" s="147"/>
    </row>
    <row r="41" spans="1:8" ht="24" customHeight="1">
      <c r="A41" s="179" t="s">
        <v>131</v>
      </c>
      <c r="B41" s="180"/>
      <c r="C41" s="180"/>
      <c r="D41" s="180"/>
      <c r="E41" s="180"/>
      <c r="F41" s="180"/>
      <c r="G41" s="180"/>
      <c r="H41" s="181"/>
    </row>
    <row r="42" spans="1:8" ht="24" customHeight="1">
      <c r="A42" s="182"/>
      <c r="B42" s="183"/>
      <c r="C42" s="183"/>
      <c r="D42" s="183"/>
      <c r="E42" s="183"/>
      <c r="F42" s="183"/>
      <c r="G42" s="183"/>
      <c r="H42" s="184"/>
    </row>
    <row r="43" spans="1:8" ht="24" customHeight="1">
      <c r="A43" s="182"/>
      <c r="B43" s="183"/>
      <c r="C43" s="183"/>
      <c r="D43" s="183"/>
      <c r="E43" s="183"/>
      <c r="F43" s="183"/>
      <c r="G43" s="183"/>
      <c r="H43" s="184"/>
    </row>
    <row r="44" spans="1:8" ht="24" customHeight="1">
      <c r="A44" s="185"/>
      <c r="B44" s="186"/>
      <c r="C44" s="186"/>
      <c r="D44" s="186"/>
      <c r="E44" s="186"/>
      <c r="F44" s="186"/>
      <c r="G44" s="186"/>
      <c r="H44" s="187"/>
    </row>
    <row r="45" spans="1:8" ht="15">
      <c r="A45" s="36"/>
      <c r="B45" s="36"/>
      <c r="C45" s="36"/>
      <c r="D45" s="36"/>
      <c r="E45" s="36"/>
      <c r="F45" s="36"/>
      <c r="G45" s="36"/>
      <c r="H45" s="36"/>
    </row>
  </sheetData>
  <mergeCells count="39">
    <mergeCell ref="A35:H38"/>
    <mergeCell ref="A40:H40"/>
    <mergeCell ref="A41:H44"/>
    <mergeCell ref="A31:C31"/>
    <mergeCell ref="D31:H31"/>
    <mergeCell ref="A32:C32"/>
    <mergeCell ref="D32:H32"/>
    <mergeCell ref="A34:H34"/>
    <mergeCell ref="A28:C28"/>
    <mergeCell ref="D28:H28"/>
    <mergeCell ref="A29:C29"/>
    <mergeCell ref="D29:H29"/>
    <mergeCell ref="A30:C30"/>
    <mergeCell ref="D30:H30"/>
    <mergeCell ref="A23:B25"/>
    <mergeCell ref="D23:E25"/>
    <mergeCell ref="G23:H25"/>
    <mergeCell ref="D22:E22"/>
    <mergeCell ref="A27:H27"/>
    <mergeCell ref="A16:H16"/>
    <mergeCell ref="A18:H18"/>
    <mergeCell ref="A19:B21"/>
    <mergeCell ref="D19:E21"/>
    <mergeCell ref="G19:H21"/>
    <mergeCell ref="A11:H11"/>
    <mergeCell ref="A12:H12"/>
    <mergeCell ref="A13:H13"/>
    <mergeCell ref="A14:H14"/>
    <mergeCell ref="A15:H15"/>
    <mergeCell ref="A7:B7"/>
    <mergeCell ref="C7:H7"/>
    <mergeCell ref="A8:B8"/>
    <mergeCell ref="C8:H8"/>
    <mergeCell ref="A10:H10"/>
    <mergeCell ref="A1:H2"/>
    <mergeCell ref="A3:H3"/>
    <mergeCell ref="A5:H5"/>
    <mergeCell ref="A6:B6"/>
    <mergeCell ref="C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CinemaReady</vt:lpstr>
      <vt:lpstr>Network Map</vt:lpstr>
      <vt:lpstr>Incident Log</vt:lpstr>
      <vt:lpstr>Project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2026-07-29T17:31:47Z</dcterms:modified>
</cp:coreProperties>
</file>